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ucdata\schaken\excel\schaken_2025_2026\FIDE_ECU\formulieren\"/>
    </mc:Choice>
  </mc:AlternateContent>
  <xr:revisionPtr revIDLastSave="0" documentId="13_ncr:1_{51233367-E574-4886-9BD6-67B7FB8174A6}" xr6:coauthVersionLast="47" xr6:coauthVersionMax="47" xr10:uidLastSave="{00000000-0000-0000-0000-000000000000}"/>
  <bookViews>
    <workbookView xWindow="14295" yWindow="0" windowWidth="14610" windowHeight="15390" xr2:uid="{00000000-000D-0000-FFFF-FFFF00000000}"/>
  </bookViews>
  <sheets>
    <sheet name="FIDE Registration Form" sheetId="1" r:id="rId1"/>
    <sheet name="Meerdere_registraties" sheetId="12" r:id="rId2"/>
    <sheet name="Rounds_Long_Tournament" sheetId="7" r:id="rId3"/>
    <sheet name="YesNo" sheetId="5" r:id="rId4"/>
    <sheet name="Tournament_Report" sheetId="6" r:id="rId5"/>
    <sheet name="Tournament_Type" sheetId="13" r:id="rId6"/>
    <sheet name="Tournament_System" sheetId="2" r:id="rId7"/>
    <sheet name="FIDE_ID" sheetId="4" r:id="rId8"/>
    <sheet name="Kind_of_Arbiters" sheetId="8" r:id="rId9"/>
    <sheet name="Time_Control" sheetId="3" r:id="rId10"/>
    <sheet name="Age_Limit" sheetId="9" r:id="rId11"/>
    <sheet name="Tiebreak_Method" sheetId="10" r:id="rId12"/>
    <sheet name="Software" sheetId="11" r:id="rId13"/>
  </sheets>
  <definedNames>
    <definedName name="_xlnm._FilterDatabase" localSheetId="7" hidden="1">FIDE_ID!$A$1:$C$515</definedName>
    <definedName name="_xlnm.Print_Area" localSheetId="0">'FIDE Registration Form'!$A$10:$C$79</definedName>
    <definedName name="Blitz">Time_Control!$D$2:$D$32</definedName>
    <definedName name="Rapid">Time_Control!$C$2:$C$32</definedName>
    <definedName name="Standard">Time_Control!$B$2:$B$32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9" i="1" l="1"/>
  <c r="B47" i="1"/>
  <c r="B45" i="1"/>
  <c r="B43" i="1" l="1"/>
  <c r="B41" i="1"/>
  <c r="B39" i="1"/>
  <c r="B37" i="1"/>
  <c r="B35" i="1"/>
  <c r="B32" i="1"/>
  <c r="B30" i="1"/>
  <c r="B28" i="1"/>
  <c r="C41" i="1" l="1"/>
  <c r="C39" i="1"/>
  <c r="C37" i="1"/>
  <c r="C35" i="1"/>
  <c r="C32" i="1"/>
  <c r="C30" i="1"/>
  <c r="C28" i="1"/>
  <c r="B1" i="7"/>
</calcChain>
</file>

<file path=xl/sharedStrings.xml><?xml version="1.0" encoding="utf-8"?>
<sst xmlns="http://schemas.openxmlformats.org/spreadsheetml/2006/main" count="1279" uniqueCount="740">
  <si>
    <t>Event Name</t>
  </si>
  <si>
    <t>City</t>
  </si>
  <si>
    <t>Country</t>
  </si>
  <si>
    <t>Expected number of players</t>
  </si>
  <si>
    <t>Tournament system</t>
  </si>
  <si>
    <t>Swiss</t>
  </si>
  <si>
    <t>Round Robin</t>
  </si>
  <si>
    <t>Knock Out</t>
  </si>
  <si>
    <t>Match</t>
  </si>
  <si>
    <t>Double RR</t>
  </si>
  <si>
    <t>Other</t>
  </si>
  <si>
    <t>Start Date (YYYY-MM-DD)</t>
  </si>
  <si>
    <t>End Date (YYYY-MM-DD)</t>
  </si>
  <si>
    <t>Chief Arbiter Name</t>
  </si>
  <si>
    <t>Chief Organizer Name</t>
  </si>
  <si>
    <t>Time Control</t>
  </si>
  <si>
    <t>Standard</t>
  </si>
  <si>
    <t>Rapid</t>
  </si>
  <si>
    <t>Blitz</t>
  </si>
  <si>
    <t>Internet Homepage</t>
  </si>
  <si>
    <t>Prize Fund</t>
  </si>
  <si>
    <t>Remarks</t>
  </si>
  <si>
    <t>Time Control Description</t>
  </si>
  <si>
    <t>Penninck, Willem (BEL, NA)</t>
  </si>
  <si>
    <t>Bastiaansen, Wim (BEL, NA)</t>
  </si>
  <si>
    <t>Van Tichelen, Bart (BEL, NA)</t>
  </si>
  <si>
    <t>Cauwenberghs, Kenneth (BEL, NA)</t>
  </si>
  <si>
    <t>Cools, Wim (BEL, NA)</t>
  </si>
  <si>
    <t>De Geest, Jan (BEL, NA)</t>
  </si>
  <si>
    <t>Decrop, Ruben (BEL, NA)</t>
  </si>
  <si>
    <t>Heuvelmans, Laetitia (BEL, NA)</t>
  </si>
  <si>
    <t>Martens, Ludo (BEL, NA)</t>
  </si>
  <si>
    <t>Meekers, Geert (BEL, NA)</t>
  </si>
  <si>
    <t>Gillain, Christophe (BEL, NA)</t>
  </si>
  <si>
    <t>Bikady, Claude (BEL, NA)</t>
  </si>
  <si>
    <t>Zamparo, Sergio (BEL, NA)</t>
  </si>
  <si>
    <t>Van De Wynkele, Eric (BEL)</t>
  </si>
  <si>
    <t>Van Landeghem, Gunther (BEL)</t>
  </si>
  <si>
    <t>Lanckriet, Chris (BEL, NA)</t>
  </si>
  <si>
    <t>Mauquoy, Alain (BEL, NA)</t>
  </si>
  <si>
    <t>Meijfroidt, Bart (BEL, NA)</t>
  </si>
  <si>
    <t>Moors, Marc (BEL, NA)</t>
  </si>
  <si>
    <t>Noiroux, Kevin (BEL, NA)</t>
  </si>
  <si>
    <t>Petit, Emilien (BEL, NA)</t>
  </si>
  <si>
    <t>Piacentini, Claudio (BEL, NA)</t>
  </si>
  <si>
    <t>Piron, Jean-Marie (BEL, NA)</t>
  </si>
  <si>
    <t>Rauta, Nicolas (BEL, NA)</t>
  </si>
  <si>
    <t>Russo, Bruno (BEL, NA)</t>
  </si>
  <si>
    <t>Temmerman, Hans (BEL, NA)</t>
  </si>
  <si>
    <t>Tielens, Kris (BEL, NA)</t>
  </si>
  <si>
    <t>Van Bunderen, Gert (BEL, NA)</t>
  </si>
  <si>
    <t>Van Dyck, Marc (BEL, NA)</t>
  </si>
  <si>
    <t>Van Quickenborne, Kris (BEL, NA)</t>
  </si>
  <si>
    <t>Vandevoort, Pascal (BEL, NA)</t>
  </si>
  <si>
    <t>Vanson, Marc (BEL, NA)</t>
  </si>
  <si>
    <t>Vertenten, Eduard (BEL, NA)</t>
  </si>
  <si>
    <t>Werner, Ivan (BEL, NA)</t>
  </si>
  <si>
    <t>Romanelli, Robert (BEL)</t>
  </si>
  <si>
    <t>Mandatory</t>
  </si>
  <si>
    <t>Optional</t>
  </si>
  <si>
    <t>Please choose out of the list. Be sure that only persons with an FIDE-ID are filled in. (*)</t>
  </si>
  <si>
    <t>Please choose out of the list. (*)</t>
  </si>
  <si>
    <t>(*) If your choice is not available, please add it by creating a new line in the appropriate tab between the existing lines (so not at the end of the list).</t>
  </si>
  <si>
    <t>Ahn, Martin (BEL, NA)</t>
  </si>
  <si>
    <t>Anciaux, Marc (BEL, NA)</t>
  </si>
  <si>
    <t>Andre, Damien (BEL, NA)</t>
  </si>
  <si>
    <t>Bellens, Steven (BEL, NA)</t>
  </si>
  <si>
    <t>Bergmans, Norbert (BEL, NA)</t>
  </si>
  <si>
    <t>Beukema, Henk Jan (NED, NA)</t>
  </si>
  <si>
    <t>Bonne, Ronny (BEL, NA)</t>
  </si>
  <si>
    <t>Bosschem, Eddy (BEL, NA)</t>
  </si>
  <si>
    <t>Brion, Philippe (BEL, NA)</t>
  </si>
  <si>
    <t>Bruynseels, Roger (BEL, NA)</t>
  </si>
  <si>
    <t>Bunkens, Rudi (BEL, NA)</t>
  </si>
  <si>
    <t>Bustin, Jean-Louis (BEL, NA)</t>
  </si>
  <si>
    <t>Callant, Geert (BEL, NA)</t>
  </si>
  <si>
    <t>Cappon, John (FRA, NA)</t>
  </si>
  <si>
    <t>Christiaens, Mark (BEL, NA)</t>
  </si>
  <si>
    <t>Coudron, Paul (BEL, NA)</t>
  </si>
  <si>
    <t>Danneel, Geert (BEL, NA)</t>
  </si>
  <si>
    <t>De Brouwer, Philippe (BEL, NA)</t>
  </si>
  <si>
    <t>De Coninck, Rik (BEL, NA)</t>
  </si>
  <si>
    <t>De Gendt, Eddy (BEL, NA)</t>
  </si>
  <si>
    <t>De Herdt, Yasseen (BEL, NA)</t>
  </si>
  <si>
    <t>De Pauw, Damien (BEL, NA)</t>
  </si>
  <si>
    <t>De Ruyck, Nick (BEL, NA)</t>
  </si>
  <si>
    <t>De Scheemacker, Peter (BEL, NA)</t>
  </si>
  <si>
    <t>De Schepper, Bart (BEL, NA)</t>
  </si>
  <si>
    <t>De Smet, Karl (BEL, NA)</t>
  </si>
  <si>
    <t>De Visser, Stefaan (BEL, NA)</t>
  </si>
  <si>
    <t>De Vriendt, Augustin (BEL, NA)</t>
  </si>
  <si>
    <t>Debeus, Daniel (BEL, NA)</t>
  </si>
  <si>
    <t>Defour, Rudy (BEL, NA)</t>
  </si>
  <si>
    <t>Degembe, Serge (BEL, NA)</t>
  </si>
  <si>
    <t>Delvaux, Guy (BEL, NA)</t>
  </si>
  <si>
    <t>Demoulin, Joachim (BEL, NA)</t>
  </si>
  <si>
    <t>Denduyver, Marcel (BEL, NA)</t>
  </si>
  <si>
    <t>Deschuyteneer, Willy (BEL, NA)</t>
  </si>
  <si>
    <t>Dhuyvetter, Frederik (BEL, NA)</t>
  </si>
  <si>
    <t>Du Ry, Philippe (BEL, NA)</t>
  </si>
  <si>
    <t>Ducaert, Frederik (BEL, NA)</t>
  </si>
  <si>
    <t>Dupuis, Cedric (BEL, NA)</t>
  </si>
  <si>
    <t>Geuquet, Michael (BEL, NA)</t>
  </si>
  <si>
    <t>Giansante, Peppino (BEL, NA)</t>
  </si>
  <si>
    <t>Goethals, Kristof (BEL, NA)</t>
  </si>
  <si>
    <t>Goethals, Philipe (BEL, NA)</t>
  </si>
  <si>
    <t>Gregorio, Santiago (BEL, NA)</t>
  </si>
  <si>
    <t>Grobelny, Fabrice (BEL, NA)</t>
  </si>
  <si>
    <t>Halleux, Daniel (BEL, NA)</t>
  </si>
  <si>
    <t>Hamblok, Roel (BEL, NA)</t>
  </si>
  <si>
    <t>Haverbeke, Jean-Pierre (BEL, NA)</t>
  </si>
  <si>
    <t>Hendrikx, Marc (BEL, NA)</t>
  </si>
  <si>
    <t>Hiel, Lino (BEL, NA)</t>
  </si>
  <si>
    <t>Huchon, Jean (BEL, NA)</t>
  </si>
  <si>
    <t>Huysman, Robert (BEL, NA)</t>
  </si>
  <si>
    <t>Indemans, Rudi (BEL, NA)</t>
  </si>
  <si>
    <t>Inghelbrecht, Veronique (BEL, NA)</t>
  </si>
  <si>
    <t>Jamar, Marc (BEL, NA)</t>
  </si>
  <si>
    <t>Jassem, Philippe (BEL, NA)</t>
  </si>
  <si>
    <t>Knudde, Francis (BEL, NA)</t>
  </si>
  <si>
    <t>Kocur, Johan (BEL, NA)</t>
  </si>
  <si>
    <t>Kocur, Marc (BEL, NA)</t>
  </si>
  <si>
    <t>Lacroix, Didier (FRA, NA)</t>
  </si>
  <si>
    <t>Laurent, Michel (BEL, NA)</t>
  </si>
  <si>
    <t>Lavet, Theo (BEL, NA)</t>
  </si>
  <si>
    <t>Libbrecht, Peter (BEL, NA)</t>
  </si>
  <si>
    <t>Logie, Bernard (BEL, NA)</t>
  </si>
  <si>
    <t>Lombard, Christian (BEL, NA)</t>
  </si>
  <si>
    <t>Luyckx, Wim (BEL, NA)</t>
  </si>
  <si>
    <t>Maeckelbergh, Anne-Marie (BEL, NA)</t>
  </si>
  <si>
    <t>Maes, Wim (BEL, NA)</t>
  </si>
  <si>
    <t>Marchal, Georges (BEL, NA)</t>
  </si>
  <si>
    <t>Marmenout, Sylvain (BEL, NA)</t>
  </si>
  <si>
    <t>Mollekens, Roeland (BEL, NA)</t>
  </si>
  <si>
    <t>Mollica, Antonio (BEL, NA)</t>
  </si>
  <si>
    <t>Munster, Pierre (BEL, NA)</t>
  </si>
  <si>
    <t>Ooms, Andy (BEL, NA)</t>
  </si>
  <si>
    <t>Op De Beeck, Lode (BEL, NA)</t>
  </si>
  <si>
    <t>Pacolet, Fabrice (BEL, NA)</t>
  </si>
  <si>
    <t>Peeren, Yen (BEL, NA)</t>
  </si>
  <si>
    <t>Peeters, Bart (BEL, NA)</t>
  </si>
  <si>
    <t>Pepermans, Jelle (BEL, NA)</t>
  </si>
  <si>
    <t>Persoons, Bart (BEL, NA)</t>
  </si>
  <si>
    <t>Pletinckx, Eddy (BEL, NA)</t>
  </si>
  <si>
    <t>Poelman, Geoffrey (BEL, NA)</t>
  </si>
  <si>
    <t>Poth, Heribert (BEL, NA)</t>
  </si>
  <si>
    <t>Puttemans, Patrick (BEL, NA)</t>
  </si>
  <si>
    <t>Raepsaet, Joannes (BEL, NA)</t>
  </si>
  <si>
    <t>Roger, Marc (BEL, NA)</t>
  </si>
  <si>
    <t>Roman, Hugo (BEL, NA)</t>
  </si>
  <si>
    <t>Roos, Adrian (BEL, NA)</t>
  </si>
  <si>
    <t>Roos, David (BEL, NA)</t>
  </si>
  <si>
    <t>Schaeken, Yordi (BEL, NA)</t>
  </si>
  <si>
    <t>Schrickx, Frank (BEL, NA)</t>
  </si>
  <si>
    <t>Secelle, Hans (BEL, NA)</t>
  </si>
  <si>
    <t>Sohet, Cedric (BEL, NA)</t>
  </si>
  <si>
    <t>Steelandt, Andre (BEL, NA)</t>
  </si>
  <si>
    <t>Steurs, August (BEL, NA)</t>
  </si>
  <si>
    <t>Stockman, Xavier (BEL, NA)</t>
  </si>
  <si>
    <t>Strubbe, Paul (BEL, NA)</t>
  </si>
  <si>
    <t>Thierens, Christian (BEL, NA)</t>
  </si>
  <si>
    <t>Tossens, Alain (BEL, NA)</t>
  </si>
  <si>
    <t>Uhoda, Philippe (BEL, NA)</t>
  </si>
  <si>
    <t>Valcke, Rudi (BEL, IO)</t>
  </si>
  <si>
    <t>Van Bever, Roland (BEL, NA)</t>
  </si>
  <si>
    <t>Van De Geuchte, Sofie (BEL, NA)</t>
  </si>
  <si>
    <t>Van De Perre, Patrick (BEL, NA)</t>
  </si>
  <si>
    <t>Van De Wynkele, Herman (BEL, NA)</t>
  </si>
  <si>
    <t>Van De Wynkele, Rudy (BEL, NA)</t>
  </si>
  <si>
    <t>Van Leeuwen, Etienne (BEL, NA)</t>
  </si>
  <si>
    <t>Van Puyvelde, Stijn (BEL, NA)</t>
  </si>
  <si>
    <t>Van Rillaer, Dirk (BEL, NA)</t>
  </si>
  <si>
    <t>Vandenbroucke, Tim (BEL, NA)</t>
  </si>
  <si>
    <t>Vandenbruaene, Andre (BEL, NA)</t>
  </si>
  <si>
    <t>Vandergoten, Theo (BEL, NA)</t>
  </si>
  <si>
    <t>Vanhaverbeke, Johan (BEL, NA)</t>
  </si>
  <si>
    <t>Vanhercke, Jan (BEL, NA, IO)</t>
  </si>
  <si>
    <t>Vanlerberghe, Eddy (BEL, NA)</t>
  </si>
  <si>
    <t>Vanmuylder, Dany (BEL, NA)</t>
  </si>
  <si>
    <t>Vausort, Andre (BEL, NA)</t>
  </si>
  <si>
    <t>Verbeke, Johan (BEL, NA)</t>
  </si>
  <si>
    <t>Verhaeren, Gertjan (BEL, NA)</t>
  </si>
  <si>
    <t>Vermeir, Roger (BEL, NA)</t>
  </si>
  <si>
    <t>Verschraegen, Thomas (BEL, NA)</t>
  </si>
  <si>
    <t>Verspecht, Thierry (BEL, NA)</t>
  </si>
  <si>
    <t>Viaene, Jan (BEL, NA)</t>
  </si>
  <si>
    <t>Wery, Eric (BEL, NA)</t>
  </si>
  <si>
    <t>Zimmermann, Christian (BEL, NA)</t>
  </si>
  <si>
    <t>Rosskamp, Kurt (BEL, NA)</t>
  </si>
  <si>
    <t>FIDE-ID</t>
  </si>
  <si>
    <t>Will FIDE Laws be followed?</t>
  </si>
  <si>
    <t>Yes</t>
  </si>
  <si>
    <t>No</t>
  </si>
  <si>
    <t>National Championship 1.43a</t>
  </si>
  <si>
    <t>Is information put on FIDE Calendar?</t>
  </si>
  <si>
    <t>Tournament report</t>
  </si>
  <si>
    <t>All rounds in 1 report</t>
  </si>
  <si>
    <t>New long tournament</t>
  </si>
  <si>
    <t>Add rounds to existing long tournament</t>
  </si>
  <si>
    <t>(**)</t>
  </si>
  <si>
    <t>(***)</t>
  </si>
  <si>
    <t>Set this box if tournament is a National Championship in accordance with 1.43a of FIDE Title Regulations.</t>
  </si>
  <si>
    <t>Tournament will not be considered for 1.43a National Championship if box is not checked.</t>
  </si>
  <si>
    <t>Complete duplicate Event Names (even of the years) are not allowed.</t>
  </si>
  <si>
    <t>Please put Year or other modificators in the name.</t>
  </si>
  <si>
    <t>(****)</t>
  </si>
  <si>
    <t>New long tournament has to be used for a new tournament which last longer than 30 days (League or Team events).</t>
  </si>
  <si>
    <t>This will be the first stage and then you can add more rounds to this event.</t>
  </si>
  <si>
    <t>Use this option to avoid double charge !!!</t>
  </si>
  <si>
    <t>Team League</t>
  </si>
  <si>
    <t>Partial League</t>
  </si>
  <si>
    <t>Number of Rounds reported</t>
  </si>
  <si>
    <t>Number of multiple round days</t>
  </si>
  <si>
    <t>Female players only</t>
  </si>
  <si>
    <t>Round 1 Date</t>
  </si>
  <si>
    <t>Round 2 Date</t>
  </si>
  <si>
    <t>Round 3 Date</t>
  </si>
  <si>
    <t>Round 4 Date</t>
  </si>
  <si>
    <t>Round 5 Date</t>
  </si>
  <si>
    <t>Round 6 Date</t>
  </si>
  <si>
    <t>Round 7 Date</t>
  </si>
  <si>
    <t>Round 8 Date</t>
  </si>
  <si>
    <t>Round 9 Date</t>
  </si>
  <si>
    <t>Round 10 Date</t>
  </si>
  <si>
    <t>Round 11 Date</t>
  </si>
  <si>
    <t>Title Norms available</t>
  </si>
  <si>
    <t>GM/WGM Norms available</t>
  </si>
  <si>
    <t>Deputy Chief Arbiter 1 Name</t>
  </si>
  <si>
    <t>Kind of Arbiters</t>
  </si>
  <si>
    <t xml:space="preserve">Sector Arbiters </t>
  </si>
  <si>
    <t>Arbiters</t>
  </si>
  <si>
    <t>Assistant Arbiters</t>
  </si>
  <si>
    <t>Deputy Chief Arbiter 2 Name</t>
  </si>
  <si>
    <t>Arbiter 1 Name</t>
  </si>
  <si>
    <t>Arbiter 2 Name</t>
  </si>
  <si>
    <t>Arbiter 3 Name</t>
  </si>
  <si>
    <t>Arbiter 4 Name</t>
  </si>
  <si>
    <t>105min/40moves+15min/end</t>
  </si>
  <si>
    <t>120min/40moves+15min/end+30sec/move from move 40</t>
  </si>
  <si>
    <t>120min/40moves+30min/end</t>
  </si>
  <si>
    <t>120min/10moves+30min/end+30sec/move from move 40</t>
  </si>
  <si>
    <t>120min/end</t>
  </si>
  <si>
    <t>150min/end</t>
  </si>
  <si>
    <t>60min/end</t>
  </si>
  <si>
    <t>60min/end+30sec/move from move 1</t>
  </si>
  <si>
    <t>65min/end</t>
  </si>
  <si>
    <t>75min/end+30sec/move from move 1</t>
  </si>
  <si>
    <t>90min/40moves+15min/end+30sec/move from move 1</t>
  </si>
  <si>
    <t>90min/end+30sec/move from move 1</t>
  </si>
  <si>
    <t>90min/40moves+30min/end+30sec/move from move 1</t>
  </si>
  <si>
    <t>15min/end+10sec/move from move 1</t>
  </si>
  <si>
    <t>10min/end+10sec/move from move 1</t>
  </si>
  <si>
    <t>10min/end+15sec/move from move 1</t>
  </si>
  <si>
    <t>10min/end+5sec/move from move 1</t>
  </si>
  <si>
    <t>11min/end</t>
  </si>
  <si>
    <t>12min/end</t>
  </si>
  <si>
    <t>13min/end+3sec/move from move 1</t>
  </si>
  <si>
    <t>13min/end+5sec/move from move 1</t>
  </si>
  <si>
    <t>15min/end</t>
  </si>
  <si>
    <t>15min/end+15sec/move from move 1</t>
  </si>
  <si>
    <t>15min/end+5sec/move from move 1</t>
  </si>
  <si>
    <t>20min/end</t>
  </si>
  <si>
    <t>20min/end+10sec/move from move 1</t>
  </si>
  <si>
    <t>20min/end+15sec/move from move 1</t>
  </si>
  <si>
    <t>20min/end+5sec/move from move 1</t>
  </si>
  <si>
    <t>25min/end+10sec/move from move 1</t>
  </si>
  <si>
    <t>25min/end+15sec/move from move 1</t>
  </si>
  <si>
    <t>25min/end+5sec/move from move 1</t>
  </si>
  <si>
    <t>25min/end</t>
  </si>
  <si>
    <t>30min/end</t>
  </si>
  <si>
    <t>45min/end</t>
  </si>
  <si>
    <t>8min/end+4sec/move from move 1</t>
  </si>
  <si>
    <t>10min/end</t>
  </si>
  <si>
    <t>3min/end+2sec/move from move 1</t>
  </si>
  <si>
    <t>3min/end+3sec/move from move 1</t>
  </si>
  <si>
    <t>4min/end+2sec/move from move 1</t>
  </si>
  <si>
    <t>4min/end+3sec/move from move 1</t>
  </si>
  <si>
    <t>5min/end</t>
  </si>
  <si>
    <t>5min/end+2sec/move from move 1</t>
  </si>
  <si>
    <t>5min/end+3sec/move from move 1</t>
  </si>
  <si>
    <t>6min/end+2sec/move from move 1</t>
  </si>
  <si>
    <t>6min/end+3sec/move from move 1</t>
  </si>
  <si>
    <t>7min/end+2sec/move from move 1</t>
  </si>
  <si>
    <t>7min/end+3sec/move from move 1</t>
  </si>
  <si>
    <t>8min/end+2sec/move from move 1</t>
  </si>
  <si>
    <t>(*****)</t>
  </si>
  <si>
    <t>If Time Control Description is not in the list, please put it manually in tab Time_Control (starting with NEW).</t>
  </si>
  <si>
    <t>Max Rating</t>
  </si>
  <si>
    <t>(******)</t>
  </si>
  <si>
    <t>Age Limit</t>
  </si>
  <si>
    <t>All Digital Clocks</t>
  </si>
  <si>
    <t>Empty value or NONE means no maximum or no limit.</t>
  </si>
  <si>
    <t>None</t>
  </si>
  <si>
    <t>Over</t>
  </si>
  <si>
    <t>Under</t>
  </si>
  <si>
    <t>Age Limit Value</t>
  </si>
  <si>
    <t>Internet Transmission</t>
  </si>
  <si>
    <t>Tiebreak Method</t>
  </si>
  <si>
    <t>Direct Encounter</t>
  </si>
  <si>
    <t>Number of wins</t>
  </si>
  <si>
    <t>Buchholz</t>
  </si>
  <si>
    <t>Software</t>
  </si>
  <si>
    <t>Swiss Manager</t>
  </si>
  <si>
    <t>VEGA</t>
  </si>
  <si>
    <t>Swiss Master</t>
  </si>
  <si>
    <t>Version Software</t>
  </si>
  <si>
    <t>Will PGN be provided?</t>
  </si>
  <si>
    <t>Contact E-mail</t>
  </si>
  <si>
    <t>Pattyn, Nico (BEL)</t>
  </si>
  <si>
    <t>Verhulst, Tobias (BEL, NA)</t>
  </si>
  <si>
    <t>Gorts, Sven (BEL, NA)</t>
  </si>
  <si>
    <t>Van Vliet, Dennis (BEL)</t>
  </si>
  <si>
    <t>Kolp, Pierre (BEL)</t>
  </si>
  <si>
    <t>Vincent, Gwijde (BEL, NA)</t>
  </si>
  <si>
    <t>Bonjean, Marc (BEL, NA)</t>
  </si>
  <si>
    <t>Cuvelier, Annelies (BEL, NA)</t>
  </si>
  <si>
    <t>Roessler, Eckhard (BEL, NA)</t>
  </si>
  <si>
    <t>Vincent, Ayla (BEL, NA)</t>
  </si>
  <si>
    <t>De Cauter, Wolfgang (GER, NA)</t>
  </si>
  <si>
    <t>Verhelst, Joris (BEL, NA)</t>
  </si>
  <si>
    <t>Verheyen, Quinten (BEL, NA)</t>
  </si>
  <si>
    <t>Van Peer, Cedric (BEL, NA)</t>
  </si>
  <si>
    <t>De Strycker, Nathan (BEL, NA)</t>
  </si>
  <si>
    <t>Kosatka, Edward (BEL, NA)</t>
  </si>
  <si>
    <t>D'Haijere, Arnaud (BEL, NA)</t>
  </si>
  <si>
    <t>Sproten, Raphael (BEL, NA)</t>
  </si>
  <si>
    <t>Iannelli, Jean (BEL, NA)</t>
  </si>
  <si>
    <t>Scheen, Pascal (BEL, NA)</t>
  </si>
  <si>
    <t>Dorr, Yannick (BEL, NA)</t>
  </si>
  <si>
    <t>Dorr, Jose (BEL, NA)</t>
  </si>
  <si>
    <t>Deneyer, Frank (BEL, NA)</t>
  </si>
  <si>
    <t>Harutyunyan, Axel (BEL, NA)</t>
  </si>
  <si>
    <t>Jacques, Stephane (BEL, NA)</t>
  </si>
  <si>
    <t>De Strycker, Johan (BEL, NA)</t>
  </si>
  <si>
    <t>Bastien, Joerg (BEL, NA)</t>
  </si>
  <si>
    <t>Van Herp, Berten (BEL, NA)</t>
  </si>
  <si>
    <t>Cuyx, Tomas (BEL, NA)</t>
  </si>
  <si>
    <t>Expected Number of Players</t>
  </si>
  <si>
    <t>Arbiter Name</t>
  </si>
  <si>
    <t>Arbiter FIDE ID</t>
  </si>
  <si>
    <t>Female Players Only</t>
  </si>
  <si>
    <t>Number of Electronic Boards</t>
  </si>
  <si>
    <t>Event Nr.</t>
  </si>
  <si>
    <t>Biot, Thomas (BEL, NA)</t>
  </si>
  <si>
    <t>Barentsen, Eric (NED, NA)</t>
  </si>
  <si>
    <t>Beeckmans, Peter (BEL, IA-D, IO)</t>
  </si>
  <si>
    <t>Bex, Lennert (BEL, NA)</t>
  </si>
  <si>
    <t>Bils, Marc (BEL, IA-D)</t>
  </si>
  <si>
    <t>Cornet, Luc (BEL, IA-B, IO)</t>
  </si>
  <si>
    <t>D'Elia, Michele (BEL, NA)</t>
  </si>
  <si>
    <t>De Vet, Sylvin (BEL, IA-D, IO)</t>
  </si>
  <si>
    <t>Deleyn, Gunter (BEL, IA-D)</t>
  </si>
  <si>
    <t>Domb, Michel (BEL, NA)</t>
  </si>
  <si>
    <t>Ertveldt, Pieter (BEL, NA)</t>
  </si>
  <si>
    <t>Henrotte, Christian (BEL, NA)</t>
  </si>
  <si>
    <t>Janssens, Marc (BEL, IA-D)</t>
  </si>
  <si>
    <t>Kesteloot, Eddy (BEL, IA-D)</t>
  </si>
  <si>
    <t>Malfliet, Bernard (BEL, IA-D)</t>
  </si>
  <si>
    <t>Van Emmelo, John (BEL, IA-D)</t>
  </si>
  <si>
    <t>Verhulst, John (BEL, IA-D)</t>
  </si>
  <si>
    <t>Wuyts, Tom (BEL, NA)</t>
  </si>
  <si>
    <t>Quinet, Benedicte (BEL)</t>
  </si>
  <si>
    <t>Bair, Marc (BEL, NA)</t>
  </si>
  <si>
    <t>Deschepper, Martin (BEL, NA)</t>
  </si>
  <si>
    <t>Dethier, Krista (BEL, NA)</t>
  </si>
  <si>
    <t>Dewitte, Didier (BEL, NA)</t>
  </si>
  <si>
    <t>Herman, Jean-Claude (BEL, NA)</t>
  </si>
  <si>
    <t>Hick, Robby (BEL, NA)</t>
  </si>
  <si>
    <t>Hoogstijns, Raf (BEL, NA)</t>
  </si>
  <si>
    <t>Jansen, Luc (BEL, NA)</t>
  </si>
  <si>
    <t>Ledent, Philippe (BEL, NA)</t>
  </si>
  <si>
    <t>Lequy, Cedric (BEL, NA)</t>
  </si>
  <si>
    <t>Passchyn, Maarten (BEL, NA)</t>
  </si>
  <si>
    <t>Piceu, Kurt (BEL, NA)</t>
  </si>
  <si>
    <t>Podevijn, Guido (BEL, NA)</t>
  </si>
  <si>
    <t>Pu, Linden (BEL, NA)</t>
  </si>
  <si>
    <t>Remue, Jan (BEL, NA)</t>
  </si>
  <si>
    <t>Rosseel, Kimball (BEL, NA)</t>
  </si>
  <si>
    <t>Van Der Avort, Bart (BEL, NA)</t>
  </si>
  <si>
    <t>Van Poucke, Simon (BEL, NA)</t>
  </si>
  <si>
    <t>Vandevelde, Luc (BEL, NA)</t>
  </si>
  <si>
    <t>Vints, Heidi (BEL, NA)</t>
  </si>
  <si>
    <t>Braeken, Barry (NED)</t>
  </si>
  <si>
    <t>Lievens, Robert (BEL)</t>
  </si>
  <si>
    <t>Cloes, Johan (BEL)</t>
  </si>
  <si>
    <t>Vandermeulen, Ida (BEL)</t>
  </si>
  <si>
    <t>Maenhout, Thibaut (BEL)</t>
  </si>
  <si>
    <t>Boutchon, Gaston (BEL, IA-D)</t>
  </si>
  <si>
    <t>Dondelinger, Jean-Pierre (BEL, IA-D)</t>
  </si>
  <si>
    <t>Keustermans, Helmut (BEL, IA-D)</t>
  </si>
  <si>
    <t>Roosendaal, Eric (NED, IA-D)</t>
  </si>
  <si>
    <t>Van Roon, Ton (NED, IA-D)</t>
  </si>
  <si>
    <t>BEL</t>
  </si>
  <si>
    <t>ChessManager</t>
  </si>
  <si>
    <t>STOP</t>
  </si>
  <si>
    <t>Swiss-Chess</t>
  </si>
  <si>
    <t>SwissSys</t>
  </si>
  <si>
    <t>UTU Chess</t>
  </si>
  <si>
    <t>Anticheating Arbiters</t>
  </si>
  <si>
    <t>Pairings Arbiters</t>
  </si>
  <si>
    <t>Organizer 1 Name</t>
  </si>
  <si>
    <t>Organizer 2 Name</t>
  </si>
  <si>
    <t>Organizer 3 Name</t>
  </si>
  <si>
    <t>100min/end+30sec/move from move 1</t>
  </si>
  <si>
    <t>100min/40moves+50min/20moves+15min/end+30sec/move from move 1</t>
  </si>
  <si>
    <t>120min/end+10sec/move from move 40</t>
  </si>
  <si>
    <t>120min/end+30sec/move from move 1</t>
  </si>
  <si>
    <t>120min/end+30sec/move from move 40</t>
  </si>
  <si>
    <t>30min/end+30sec/move from move 1</t>
  </si>
  <si>
    <t>40min/end+30sec/move from move 1</t>
  </si>
  <si>
    <t>90min/end+10sec/move from move 1</t>
  </si>
  <si>
    <t>90min/end</t>
  </si>
  <si>
    <t>90min/end+30sec DELAY /move from move 1</t>
  </si>
  <si>
    <t>10min/end+2sec/move from move 1</t>
  </si>
  <si>
    <t>10min/end+5sec DELAY /move from move 1</t>
  </si>
  <si>
    <t>12min/end+10sec/move from move 1</t>
  </si>
  <si>
    <t>12min/end+3sec/move from move 1</t>
  </si>
  <si>
    <t>12min/end+5sec/move from move 1</t>
  </si>
  <si>
    <t>30min/end+10sec/move from move 1</t>
  </si>
  <si>
    <t>30min/end+20sec/move from move 1</t>
  </si>
  <si>
    <t>40min/end+10sec/move from move 1</t>
  </si>
  <si>
    <t>59min/end</t>
  </si>
  <si>
    <t>5min/end+3sec DELAY /move from move 1</t>
  </si>
  <si>
    <t>Time Control Description if it is not listed</t>
  </si>
  <si>
    <t>Increment/Delay</t>
  </si>
  <si>
    <t>Increment</t>
  </si>
  <si>
    <t>Delay</t>
  </si>
  <si>
    <t xml:space="preserve">     Moves to first time control</t>
  </si>
  <si>
    <t xml:space="preserve">     Minutes to first time control</t>
  </si>
  <si>
    <t xml:space="preserve">     Increment/Delay</t>
  </si>
  <si>
    <t xml:space="preserve">     Seconds of Increment/Delay</t>
  </si>
  <si>
    <t xml:space="preserve">     Moves to second time control</t>
  </si>
  <si>
    <t xml:space="preserve">     Minutes to second time control</t>
  </si>
  <si>
    <t xml:space="preserve">     Minutes for final session</t>
  </si>
  <si>
    <t xml:space="preserve">     Age Limit Value</t>
  </si>
  <si>
    <t xml:space="preserve">     Enter number of boards</t>
  </si>
  <si>
    <t xml:space="preserve">     If Software = 'Other', specify 'Other'</t>
  </si>
  <si>
    <t xml:space="preserve">     If Tiebreak Method = 'Other', specify 'Other'</t>
  </si>
  <si>
    <t xml:space="preserve">     Chief Arbiter FIDE-ID</t>
  </si>
  <si>
    <t xml:space="preserve">     Deputy Chief Arbiter 1 FIDE-ID</t>
  </si>
  <si>
    <t xml:space="preserve">     Deputy Chief Arbiter 2 FIDE-ID</t>
  </si>
  <si>
    <t xml:space="preserve">     Arbiter 1 FIDE-ID</t>
  </si>
  <si>
    <t xml:space="preserve">     Arbiter 2 FIDE-ID</t>
  </si>
  <si>
    <t xml:space="preserve">     Arbiter 3 FIDE-ID</t>
  </si>
  <si>
    <t xml:space="preserve">     Arbiter 4 FIDE-ID</t>
  </si>
  <si>
    <t xml:space="preserve">     Chief Organizer FIDE-ID</t>
  </si>
  <si>
    <t xml:space="preserve">     Organizer 1 FIDE-ID</t>
  </si>
  <si>
    <t xml:space="preserve">     Organizer 2 FIDE-ID</t>
  </si>
  <si>
    <t xml:space="preserve">     Organizer 3 FIDE-ID</t>
  </si>
  <si>
    <t>Tournament type</t>
  </si>
  <si>
    <t>Over the Board</t>
  </si>
  <si>
    <t>Hybrid</t>
  </si>
  <si>
    <t>Flamee, Dirk (BEL)</t>
  </si>
  <si>
    <t>Pools, Robert (BEL)</t>
  </si>
  <si>
    <t>Ramanantsoa, Brigitte (BEL)</t>
  </si>
  <si>
    <t>Detienne, Stephane (BEL)</t>
  </si>
  <si>
    <t>De Villers, Mourad (BEL)</t>
  </si>
  <si>
    <t>Woyave, Pascal (BEL)</t>
  </si>
  <si>
    <t>Jortay, Olivier (BEL)</t>
  </si>
  <si>
    <t>Delescaille, Laurent (BEL)</t>
  </si>
  <si>
    <t>Fox, Pierre (BEL)</t>
  </si>
  <si>
    <t>Dalle, Natasha (BEL, NA)</t>
  </si>
  <si>
    <t>De Mondt, Janik (BEL, NA)</t>
  </si>
  <si>
    <t>Palstermans, Koen (BEL, NA)</t>
  </si>
  <si>
    <t>Pouliart, Sander (BEL, NA)</t>
  </si>
  <si>
    <t>Ulenaers, Marc (BEL, NA)</t>
  </si>
  <si>
    <t>Wittevrouw, Tom (BEL, NA)</t>
  </si>
  <si>
    <t>Avilov, Igor (FID, NA)</t>
  </si>
  <si>
    <t>Bockaert, Jan (BEL, NA)</t>
  </si>
  <si>
    <t>Brys, Kristof (BEL, NA)</t>
  </si>
  <si>
    <t>Brys, Yves (BEL, NA)</t>
  </si>
  <si>
    <t>Da Silva Heleno, Jorit (BEL, NA)</t>
  </si>
  <si>
    <t>De Le Court, Lucas (BEL, NA)</t>
  </si>
  <si>
    <t>Debuck, Valere (BEL, NA)</t>
  </si>
  <si>
    <t>Gonzalez Garcia, Pierre-Emmanuel (BEL, NA)</t>
  </si>
  <si>
    <t>Ongenae, Veerle (BEL, NA)</t>
  </si>
  <si>
    <t>Snoeck, Sarah (BEL, NA)</t>
  </si>
  <si>
    <t>Sputael, Ludwig (BEL, NA)</t>
  </si>
  <si>
    <t>Van Doorne, Stijn (BEL, NA)</t>
  </si>
  <si>
    <t>Verbruggen, Peter (BEL, NA)</t>
  </si>
  <si>
    <t>Vermeulen, Serge (BEL, NA)</t>
  </si>
  <si>
    <t>Clubnr. (or League or Federation) for invoicing reasons</t>
  </si>
  <si>
    <t>Name</t>
  </si>
  <si>
    <t>Afek, Yochanan (ISR, IA-D)</t>
  </si>
  <si>
    <t>Agrest, Inna (SWE, NA)</t>
  </si>
  <si>
    <t>Ait Chaouche, Samy (FRA, NA)</t>
  </si>
  <si>
    <t>Andre, Henri-Jean (BEL, NA)</t>
  </si>
  <si>
    <t>Apemiye, Austin (NGR, NA)</t>
  </si>
  <si>
    <t>Assaf, Georges (BEL, NA)</t>
  </si>
  <si>
    <t>Baete, Guy (BEL)</t>
  </si>
  <si>
    <t>Baetens, Christophe (BEL, NA)</t>
  </si>
  <si>
    <t>Bailleul, Geert (BEL, IA-A, IO)</t>
  </si>
  <si>
    <t>Barbaut, Michel (FRA, NA)</t>
  </si>
  <si>
    <t>Barreau, Renaud (BEL, IA-D)</t>
  </si>
  <si>
    <t>Bartels, Klaas (BEL, NA)</t>
  </si>
  <si>
    <t>Beghein, Andre (BEL, NA)</t>
  </si>
  <si>
    <t>Belenkaya, Dina (RUS, NA)</t>
  </si>
  <si>
    <t>Bertram, Johannes (GER, NA)</t>
  </si>
  <si>
    <t>Blazeka, Matej (CRO, NA)</t>
  </si>
  <si>
    <t>Block, Wolfgang (GER, FA-D)</t>
  </si>
  <si>
    <t>Bottin, Marco (BEL, NA)</t>
  </si>
  <si>
    <t>Bracq, Christian (FRA, IA-D)</t>
  </si>
  <si>
    <t>Bracq, Gregory (FRA, NA)</t>
  </si>
  <si>
    <t>Bressac, Stephane (FRA, NA)</t>
  </si>
  <si>
    <t>Brice, Bruno (BEL, NA)</t>
  </si>
  <si>
    <t>Brien, Peter (BEL, NA)</t>
  </si>
  <si>
    <t>Bruynseels, Johan (BEL, NA)</t>
  </si>
  <si>
    <t>Buriez, Xavier (BEL, NA)</t>
  </si>
  <si>
    <t>Burnel, Gerard (BEL, NA)</t>
  </si>
  <si>
    <t>Burssens, Jorian (BEL, NA)</t>
  </si>
  <si>
    <t>Campforts, Jurgen (BEL, NA)</t>
  </si>
  <si>
    <t>Cappelle, Gert-Jan (BEL, NA)</t>
  </si>
  <si>
    <t>Carpentier, Julian (BEL)</t>
  </si>
  <si>
    <t>Casse, Roland (BEL, NA)</t>
  </si>
  <si>
    <t>Caufriez, Olivier (BEL, NA)</t>
  </si>
  <si>
    <t>Chabeau, Patrice (BEL, NA)</t>
  </si>
  <si>
    <t>Claes, Johan (BEL, NA)</t>
  </si>
  <si>
    <t>Cleuren, Freddy (BEL, NA)</t>
  </si>
  <si>
    <t>Coenen, Jonah (BEL, NA)</t>
  </si>
  <si>
    <t>Coenen, Norbert (GER, NA)</t>
  </si>
  <si>
    <t>Cogneau, Philippe (BEL, NA)</t>
  </si>
  <si>
    <t>Colsen, Manuel (NED, NA)</t>
  </si>
  <si>
    <t>Corluy, Gregoire (BEL, NA)</t>
  </si>
  <si>
    <t>Cornil, Etienne (BEL)</t>
  </si>
  <si>
    <t>Coutton, Maxence (BEL, NA)</t>
  </si>
  <si>
    <t>De Bie, Stephaan (BEL, NA)</t>
  </si>
  <si>
    <t>De Bie, Yannick (BEL, NA)</t>
  </si>
  <si>
    <t>De Bolster, Wim (BEL, NA)</t>
  </si>
  <si>
    <t>De Heug, Quentin (BEL)</t>
  </si>
  <si>
    <t>De Meerleer, Jeroen (BEL, NA)</t>
  </si>
  <si>
    <t>De Meester, David (BEL, NA)</t>
  </si>
  <si>
    <t>De Roo, Luc (BEL, NA)</t>
  </si>
  <si>
    <t>De Vogelaere, Bart (BEL, IA-C)</t>
  </si>
  <si>
    <t>Debast, Patrick (BEL, NA)</t>
  </si>
  <si>
    <t>Decharneux, Bauduin (BEL, NA)</t>
  </si>
  <si>
    <t>Decroos, Marc (BEL, NA)</t>
  </si>
  <si>
    <t>Defromont, Benjamin (FRA, NA)</t>
  </si>
  <si>
    <t>Dehoux, Frederic (BEL, NA)</t>
  </si>
  <si>
    <t>Delers, Alain (BEL, NA)</t>
  </si>
  <si>
    <t>Densing, Gerd (GER, NA)</t>
  </si>
  <si>
    <t>Depauw, Christian (BEL)</t>
  </si>
  <si>
    <t>Desadeleer, Geoffrey (BEL, NA)</t>
  </si>
  <si>
    <t>Dethier, Claude (BEL, NA)</t>
  </si>
  <si>
    <t>Dewinter, Didier (BEL, NA)</t>
  </si>
  <si>
    <t>Dhuyvetter, Koen (BEL)</t>
  </si>
  <si>
    <t>Djavanchir, Kien (BEL, NA)</t>
  </si>
  <si>
    <t>Doetjes, Rienk (BEL, NA)</t>
  </si>
  <si>
    <t>Dumont, Ronan (BEL)</t>
  </si>
  <si>
    <t>Dupont, Cedric (BEL, NA)</t>
  </si>
  <si>
    <t>Duquesne, Claude (BEL, NA)</t>
  </si>
  <si>
    <t>Dusart, Michel (BEL, NA)</t>
  </si>
  <si>
    <t>El Osta, Eric (BEL, NA)</t>
  </si>
  <si>
    <t>Englicky, Pavel (BEL, NA)</t>
  </si>
  <si>
    <t>Ethelontis, Alexandros N (ENG, NA)</t>
  </si>
  <si>
    <t>Feaux de Lacroix, Sibylle (GER, NA)</t>
  </si>
  <si>
    <t>Flikweert, Henry (NED, NA)</t>
  </si>
  <si>
    <t>Forizs, Louis (BEL, NA)</t>
  </si>
  <si>
    <t>Fournier, Nicolas (FRA, NA)</t>
  </si>
  <si>
    <t>Frans, David (BEL, NA)</t>
  </si>
  <si>
    <t>Fret, Louis (BEL, NA)</t>
  </si>
  <si>
    <t>Ganci, Stefano (ITA, IA-C)</t>
  </si>
  <si>
    <t>Genee, Maurice (BEL, NA)</t>
  </si>
  <si>
    <t>Gessis, Stavros (BEL, NA)</t>
  </si>
  <si>
    <t>Geuquet, Luc (BEL, NA)</t>
  </si>
  <si>
    <t>Gillain, Nicolas (BEL, NA)</t>
  </si>
  <si>
    <t>Glek, Igor (RUS, FA-D)</t>
  </si>
  <si>
    <t>Godry, Adelin (BEL, NA)</t>
  </si>
  <si>
    <t>Gousset, Sebastien (BEL, NA)</t>
  </si>
  <si>
    <t>Grillmaier, Philippe (BEL, NA)</t>
  </si>
  <si>
    <t>Haegeman, Jean-Pierre (BEL, NA)</t>
  </si>
  <si>
    <t>Heymann-Lobzhanidze, Anna-Luise (GER, NA)</t>
  </si>
  <si>
    <t>Hias, Ludovic (BEL)</t>
  </si>
  <si>
    <t>Horvath, Csaba (HUN, IA-D)</t>
  </si>
  <si>
    <t>Horvath, Jozsef (HUN, IA-C)</t>
  </si>
  <si>
    <t>Huizer, Mark (NED, IA-D)</t>
  </si>
  <si>
    <t>Iboud, Samir (ALG, NA)</t>
  </si>
  <si>
    <t>Iclicki, Willy (LIE, FA-D)</t>
  </si>
  <si>
    <t>Inkiov, Ventzislav (BUL, IA-C)</t>
  </si>
  <si>
    <t>Iuldachev, Saidali (UZB, NA)</t>
  </si>
  <si>
    <t>Ivekovic, Tihana (CRO, NA)</t>
  </si>
  <si>
    <t>Jacob, Raphael (BEL, NA)</t>
  </si>
  <si>
    <t>Jagodzinsky, Andreas (GER, FA-D)</t>
  </si>
  <si>
    <t>Jans, Koen (BEL, NA)</t>
  </si>
  <si>
    <t>Jeitz, Christian (LUX, NA)</t>
  </si>
  <si>
    <t>Jongerius, Marc (NED, IA-D)</t>
  </si>
  <si>
    <t>Kadimova, Ilaha (AZE, IA-A)</t>
  </si>
  <si>
    <t>Karpov, Anatoly (RUS, FA-D)</t>
  </si>
  <si>
    <t>Kim, Kristina (KAZ, NA)</t>
  </si>
  <si>
    <t>Klinova, Masha (ISR, IA-D)</t>
  </si>
  <si>
    <t>Kollen, Zyon (NED, NA)</t>
  </si>
  <si>
    <t>Kulicov, Oleg (RUS, NA)</t>
  </si>
  <si>
    <t>Kurpnieks, Vairis (LAT, IA-D)</t>
  </si>
  <si>
    <t>Lagaras, Stylianos (GRE, NA)</t>
  </si>
  <si>
    <t>Lagasse, Jean-Claude (BEL, NA)</t>
  </si>
  <si>
    <t>Lamby, Philipp, Dr. (GER, NA)</t>
  </si>
  <si>
    <t>Lauterbach, Ingrid (ENG, IA-D)</t>
  </si>
  <si>
    <t>Lefebvre, Thomas (BEL, NA)</t>
  </si>
  <si>
    <t>Lejeune, Raphael (BEL, NA)</t>
  </si>
  <si>
    <t>Lemmens, Michel (BEL, NA)</t>
  </si>
  <si>
    <t>Logie, Dimitri (BEL, NA, IO)</t>
  </si>
  <si>
    <t>Lopez, Jasel (ARU, NA)</t>
  </si>
  <si>
    <t>Ludwig, Daniel (BEL, NA)</t>
  </si>
  <si>
    <t>Maas, Eddy (BEL, NA)</t>
  </si>
  <si>
    <t>Maes, Valeer (BEL, NA)</t>
  </si>
  <si>
    <t>Maquoi, Sophie (BEL, NA)</t>
  </si>
  <si>
    <t>Marchal, Anaïs (BEL, NA)</t>
  </si>
  <si>
    <t>Markovic, Dejan M (SRB, FA-D)</t>
  </si>
  <si>
    <t>Martin, Daniel (BEL, NA)</t>
  </si>
  <si>
    <t>Mawet, Gilbert (BEL, NA)</t>
  </si>
  <si>
    <t>Mechelynck, Antoine (BEL, NA)</t>
  </si>
  <si>
    <t>Melet, Gilles (BEL, NA)</t>
  </si>
  <si>
    <t>Mersie, Monique (BEL, NA)</t>
  </si>
  <si>
    <t>Miezis, Normunds (LAT, NA)</t>
  </si>
  <si>
    <t>Miljanic, Boro (MNE, NA)</t>
  </si>
  <si>
    <t>Minet, Julien (BEL, NA)</t>
  </si>
  <si>
    <t>Miralles, Gilles (FRA, NA)</t>
  </si>
  <si>
    <t>Motmans, Matthias (BEL, NA)</t>
  </si>
  <si>
    <t>Muetsch, Annmarie (GER, NA)</t>
  </si>
  <si>
    <t>Mullon, Jean-Baptiste (FRA, NA)</t>
  </si>
  <si>
    <t>Nguyen, Thu Giang (AUS, NA)</t>
  </si>
  <si>
    <t>Orso, Miklos (HUN, IA-B)</t>
  </si>
  <si>
    <t>Osaer, Jarne (BEL, NA)</t>
  </si>
  <si>
    <t>Oste, Patrick (BEL, NA)</t>
  </si>
  <si>
    <t>Palazoski, Elvir (BEL)</t>
  </si>
  <si>
    <t>Paleologu, Vladimir (SUI, NA)</t>
  </si>
  <si>
    <t>Papp, Arpad (BEL, NA)</t>
  </si>
  <si>
    <t>Peers, Wim (BEL, NA)</t>
  </si>
  <si>
    <t>Penneman, Francis (BEL, NA)</t>
  </si>
  <si>
    <t>Pergel, Laszlo (HUN, IA-C)</t>
  </si>
  <si>
    <t>Picariello, Marco (ITA, NA)</t>
  </si>
  <si>
    <t>Piceu, Tom (BEL, NA, IO)</t>
  </si>
  <si>
    <t>Pincon, Stephane (FRA, NA)</t>
  </si>
  <si>
    <t>Piron, Pascal (BEL, NA)</t>
  </si>
  <si>
    <t>Poets, Wim (BEL, NA)</t>
  </si>
  <si>
    <t>Polak, Kinga (POL, NA)</t>
  </si>
  <si>
    <t>Pollet, Charles (BEL, NA)</t>
  </si>
  <si>
    <t>Pots, Jos (NED, IA-C)</t>
  </si>
  <si>
    <t>Prie, Eric (FRA, FA-D)</t>
  </si>
  <si>
    <t>Prieb, Robert (GER, NA)</t>
  </si>
  <si>
    <t>Prusikin, Michael (GER, NA)</t>
  </si>
  <si>
    <t>Pucher, Sebastien (FRA, NA)</t>
  </si>
  <si>
    <t>Renard, Stephane (FRA, IA-C)</t>
  </si>
  <si>
    <t>Renkens, Stef (BEL)</t>
  </si>
  <si>
    <t>Ricken, Katharina (NED, NA)</t>
  </si>
  <si>
    <t>Rodriguez-Castro, Emilio (BEL, NA)</t>
  </si>
  <si>
    <t>Ronck, Marcel-Sr. (BEL, NA)</t>
  </si>
  <si>
    <t>Roose, Erik (BEL, NA)</t>
  </si>
  <si>
    <t>Ruelens, Daniel (BEL, NA)</t>
  </si>
  <si>
    <t>Runte, Moritz (GER, NA)</t>
  </si>
  <si>
    <t>Sauvé, Philippe (FRA, IA-C, IO)</t>
  </si>
  <si>
    <t>Savina, Anastasia (FRA, FA-D)</t>
  </si>
  <si>
    <t>Scaillet, Timothe (BEL, FA-D)</t>
  </si>
  <si>
    <t>Schalembier, Kylian (BEL)</t>
  </si>
  <si>
    <t>Schelwokat, Peter (GER, NA)</t>
  </si>
  <si>
    <t>Schleck, Victor (BEL)</t>
  </si>
  <si>
    <t>Scuflaire, Richard (BEL, NA)</t>
  </si>
  <si>
    <t>Sojka, Bernard (FRA, IA-C)</t>
  </si>
  <si>
    <t>Soubirou, Oriane (FRA, NA)</t>
  </si>
  <si>
    <t>Stillger, Bernhard (GER, NA)</t>
  </si>
  <si>
    <t>Stoffelen, Edward (BEL, NA)</t>
  </si>
  <si>
    <t>Sulskis, Sarunas (LTU, FA-D)</t>
  </si>
  <si>
    <t>Talla, Vladimir (CZE, IA-C)</t>
  </si>
  <si>
    <t>Temmerman, Sander (BEL, NA)</t>
  </si>
  <si>
    <t>Temmerman, Sara (BEL, NA)</t>
  </si>
  <si>
    <t>Terhuven, Patrick (GER, IA-D)</t>
  </si>
  <si>
    <t>Thomas, John (BEL)</t>
  </si>
  <si>
    <t>Travers, Christophe (FRA, NA)</t>
  </si>
  <si>
    <t>Trejbal, Jindrich (CZE, NA)</t>
  </si>
  <si>
    <t>Trevisan, Giovanni (BEL, NA)</t>
  </si>
  <si>
    <t>Troisi, Joseph (BEL, NA)</t>
  </si>
  <si>
    <t>Truyens, Aime (BEL, NA)</t>
  </si>
  <si>
    <t>Tuncer, Ufuk (GER, NA)</t>
  </si>
  <si>
    <t>Van Der Beek, Ruud (NED, NA)</t>
  </si>
  <si>
    <t>Van Der Graaf - Osinga, Angeliqu (NED, IA-D)</t>
  </si>
  <si>
    <t>Van der Graaf, Andre (NED, IA-D)</t>
  </si>
  <si>
    <t>Van Der Meulen, Maarten (BEL, NA)</t>
  </si>
  <si>
    <t>Van Loo, Peter (BEL, NA)</t>
  </si>
  <si>
    <t>Van Rooijen, Paul (NED, IA-D)</t>
  </si>
  <si>
    <t>Van Theemsche, Etienne (BEL, NA)</t>
  </si>
  <si>
    <t>Vanbelleghem, Patrick (BEL, NA)</t>
  </si>
  <si>
    <t>Vanden Berghe, Filip (BEL, NA)</t>
  </si>
  <si>
    <t>Vandenbruaene, Carl (BEL, NA)</t>
  </si>
  <si>
    <t>Vanderhelstraete, Luc (BEL, NA)</t>
  </si>
  <si>
    <t>Vandervorst, Marc (FRA, FA-C)</t>
  </si>
  <si>
    <t>Vandevenne, Sander (BEL, NA)</t>
  </si>
  <si>
    <t>Vanhoomissen, Bob (BEL, NA)</t>
  </si>
  <si>
    <t>Vansilliette, Nicolas (BEL, NA)</t>
  </si>
  <si>
    <t>Varga, Peter (HUN, FA-D)</t>
  </si>
  <si>
    <t>Versailles, Marc (BEL, NA)</t>
  </si>
  <si>
    <t>Vertriest, Miguel (BEL, NA)</t>
  </si>
  <si>
    <t>Villegas, Pierre (MNC, NA)</t>
  </si>
  <si>
    <t>Voigt, Ingrid (GER, FA-D)</t>
  </si>
  <si>
    <t>Vukojevic, Philippe (BEL, IO)</t>
  </si>
  <si>
    <t>Wagener, Claude (LUX, NA)</t>
  </si>
  <si>
    <t>Wahlund, Max (SWE, NA)</t>
  </si>
  <si>
    <t>Wery, Laurent (BEL, NA)</t>
  </si>
  <si>
    <t>Wildiers, Emmanuel (BEL, NA)</t>
  </si>
  <si>
    <t>Withoeck, Daniel (BEL, NA)</t>
  </si>
  <si>
    <t>Witkamp, Jarno (NED, FA-D)</t>
  </si>
  <si>
    <t>Xie, Jun (CHN, IA-B)</t>
  </si>
  <si>
    <t>Xu, Yuanyuan (CHN, NA)</t>
  </si>
  <si>
    <t>Ysabie, Tony (BEL, NA)</t>
  </si>
  <si>
    <t>Zill, Christoph (GER, NA)</t>
  </si>
  <si>
    <t>No License</t>
  </si>
  <si>
    <t>License</t>
  </si>
  <si>
    <t>No license</t>
  </si>
  <si>
    <t>De Landtsheer, Sebastien (BEL)</t>
  </si>
  <si>
    <t>Indicate here in which report the results will be</t>
  </si>
  <si>
    <t>Example</t>
  </si>
  <si>
    <t>Test Tournament</t>
  </si>
  <si>
    <t>one report for the month September</t>
  </si>
  <si>
    <t>one report for the month November</t>
  </si>
  <si>
    <t>Explanation</t>
  </si>
  <si>
    <t>Hannecart, Marc (BEL, NA)</t>
  </si>
  <si>
    <t>Vertenoeil, Tom (BEL)</t>
  </si>
  <si>
    <t>Tellier, Aurélie (BEL, NA)</t>
  </si>
  <si>
    <t>Evers, Shaman (FRA, NA)</t>
  </si>
  <si>
    <t>Vandervorst, Pascal (BEL, FA-D)</t>
  </si>
  <si>
    <t>Andre, Robin (BEL, NA)</t>
  </si>
  <si>
    <t>E-mailaddress (for communication and invoicing reasons)</t>
  </si>
  <si>
    <t>Didricht, Bruno (BEL)</t>
  </si>
  <si>
    <t>Godding, Mick (BEL, NA)</t>
  </si>
  <si>
    <t>Coenjaerts, René (NED, IA)</t>
  </si>
  <si>
    <t>De Brouwere, Johan (BEL)</t>
  </si>
  <si>
    <t>Peeters, Frans (NED, IA-C)</t>
  </si>
  <si>
    <t>Versie</t>
  </si>
  <si>
    <t>Adans-Dester, Alexandre</t>
  </si>
  <si>
    <t>Gheury, Jean-Marie (BEL, NA)</t>
  </si>
  <si>
    <t>Lotigier, Dorian (BEL, NA)</t>
  </si>
  <si>
    <t>Thys, Joseph (BEL, NA)</t>
  </si>
  <si>
    <t>Dekoker, Patricia (BEL)</t>
  </si>
  <si>
    <t>Delcourt, Cyril (BEL)</t>
  </si>
  <si>
    <t>Azzegag, Jocelyn (FRA, IA-C)</t>
  </si>
  <si>
    <t>Bezza, Zakaria (FRA, NA)</t>
  </si>
  <si>
    <t>Lion, Maurice (BEL)</t>
  </si>
  <si>
    <t>Engels, Kurt (BEL)</t>
  </si>
  <si>
    <t>Pitcher, Liam (BEL, NA)</t>
  </si>
  <si>
    <t>Criquillion, Guillaume (BEL)</t>
  </si>
  <si>
    <t>Liekens, Ronny (BEL, NA)</t>
  </si>
  <si>
    <t>De Winne, Oswald (BEL)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</si>
</sst>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,##0\ [$€-1];[Red]\-#,##0\ [$€-1]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3" borderId="0" xfId="0" applyFont="1" applyFill="1"/>
    <xf numFmtId="0" fontId="0" fillId="5" borderId="0" xfId="0" applyFill="1"/>
    <xf numFmtId="0" fontId="0" fillId="0" borderId="0" xfId="0" applyProtection="1">
      <protection locked="0"/>
    </xf>
    <xf numFmtId="0" fontId="0" fillId="4" borderId="0" xfId="0" applyFill="1" applyProtection="1">
      <protection locked="0"/>
    </xf>
    <xf numFmtId="164" fontId="0" fillId="0" borderId="0" xfId="0" applyNumberFormat="1" applyProtection="1">
      <protection locked="0"/>
    </xf>
    <xf numFmtId="0" fontId="1" fillId="0" borderId="0" xfId="1" applyAlignment="1" applyProtection="1">
      <protection locked="0"/>
    </xf>
    <xf numFmtId="165" fontId="0" fillId="0" borderId="0" xfId="0" applyNumberFormat="1" applyProtection="1">
      <protection locked="0"/>
    </xf>
    <xf numFmtId="1" fontId="0" fillId="0" borderId="0" xfId="0" applyNumberFormat="1"/>
    <xf numFmtId="0" fontId="3" fillId="0" borderId="0" xfId="0" applyFont="1"/>
    <xf numFmtId="0" fontId="0" fillId="0" borderId="0" xfId="0" applyAlignment="1">
      <alignment wrapText="1"/>
    </xf>
    <xf numFmtId="1" fontId="0" fillId="5" borderId="0" xfId="0" applyNumberFormat="1" applyFill="1" applyProtection="1">
      <protection locked="0"/>
    </xf>
    <xf numFmtId="0" fontId="0" fillId="0" borderId="0" xfId="0" applyAlignment="1">
      <alignment horizontal="left"/>
    </xf>
    <xf numFmtId="0" fontId="1" fillId="0" borderId="0" xfId="1" applyAlignment="1" applyProtection="1"/>
    <xf numFmtId="0" fontId="0" fillId="0" borderId="0" xfId="0" applyAlignment="1">
      <alignment horizontal="center"/>
    </xf>
    <xf numFmtId="14" fontId="0" fillId="0" borderId="0" xfId="0" applyNumberFormat="1"/>
    <xf numFmtId="0" fontId="0" fillId="6" borderId="0" xfId="0" applyFill="1"/>
    <xf numFmtId="14" fontId="0" fillId="6" borderId="0" xfId="0" applyNumberFormat="1" applyFill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89"/>
  <sheetViews>
    <sheetView tabSelected="1" workbookViewId="0"/>
  </sheetViews>
  <sheetFormatPr defaultRowHeight="15" x14ac:dyDescent="0.25"/>
  <cols>
    <col min="1" max="1" width="50.42578125" bestFit="1" customWidth="1"/>
    <col min="2" max="2" width="34.140625" customWidth="1"/>
    <col min="3" max="3" width="10" bestFit="1" customWidth="1"/>
    <col min="4" max="4" width="10.5703125" bestFit="1" customWidth="1"/>
    <col min="5" max="5" width="10.7109375" bestFit="1" customWidth="1"/>
  </cols>
  <sheetData>
    <row r="1" spans="1:5" x14ac:dyDescent="0.25">
      <c r="A1" s="1"/>
      <c r="B1" t="s">
        <v>58</v>
      </c>
      <c r="D1" s="19" t="s">
        <v>725</v>
      </c>
      <c r="E1" s="20">
        <v>46166</v>
      </c>
    </row>
    <row r="2" spans="1:5" x14ac:dyDescent="0.25">
      <c r="A2" s="4"/>
      <c r="B2" t="s">
        <v>59</v>
      </c>
    </row>
    <row r="3" spans="1:5" x14ac:dyDescent="0.25">
      <c r="A3" s="3"/>
      <c r="B3" t="s">
        <v>61</v>
      </c>
    </row>
    <row r="4" spans="1:5" x14ac:dyDescent="0.25">
      <c r="A4" s="5"/>
      <c r="B4" t="s">
        <v>60</v>
      </c>
    </row>
    <row r="5" spans="1:5" ht="30" customHeight="1" x14ac:dyDescent="0.25">
      <c r="B5" s="13" t="s">
        <v>62</v>
      </c>
    </row>
    <row r="6" spans="1:5" ht="15" customHeight="1" x14ac:dyDescent="0.25">
      <c r="B6" s="13"/>
    </row>
    <row r="7" spans="1:5" ht="15" customHeight="1" x14ac:dyDescent="0.25">
      <c r="A7" s="1" t="s">
        <v>719</v>
      </c>
      <c r="B7" s="13"/>
    </row>
    <row r="8" spans="1:5" ht="15" customHeight="1" x14ac:dyDescent="0.25">
      <c r="A8" s="1" t="s">
        <v>481</v>
      </c>
      <c r="B8" s="13"/>
    </row>
    <row r="10" spans="1:5" x14ac:dyDescent="0.25">
      <c r="A10" s="1" t="s">
        <v>190</v>
      </c>
      <c r="B10" s="7"/>
    </row>
    <row r="11" spans="1:5" x14ac:dyDescent="0.25">
      <c r="A11" s="1" t="s">
        <v>193</v>
      </c>
      <c r="B11" s="7"/>
      <c r="C11" t="s">
        <v>199</v>
      </c>
    </row>
    <row r="12" spans="1:5" x14ac:dyDescent="0.25">
      <c r="A12" s="1" t="s">
        <v>194</v>
      </c>
      <c r="B12" s="7"/>
    </row>
    <row r="13" spans="1:5" x14ac:dyDescent="0.25">
      <c r="A13" s="1" t="s">
        <v>195</v>
      </c>
      <c r="B13" s="7"/>
      <c r="C13" t="s">
        <v>200</v>
      </c>
    </row>
    <row r="14" spans="1:5" x14ac:dyDescent="0.25">
      <c r="A14" s="1" t="s">
        <v>449</v>
      </c>
      <c r="B14" s="7"/>
    </row>
    <row r="15" spans="1:5" x14ac:dyDescent="0.25">
      <c r="A15" s="1" t="s">
        <v>0</v>
      </c>
      <c r="B15" s="6"/>
      <c r="C15" t="s">
        <v>205</v>
      </c>
    </row>
    <row r="16" spans="1:5" x14ac:dyDescent="0.25">
      <c r="A16" s="1" t="s">
        <v>1</v>
      </c>
      <c r="B16" s="6"/>
    </row>
    <row r="17" spans="1:5" x14ac:dyDescent="0.25">
      <c r="A17" s="1" t="s">
        <v>2</v>
      </c>
      <c r="B17" s="6" t="s">
        <v>392</v>
      </c>
    </row>
    <row r="18" spans="1:5" x14ac:dyDescent="0.25">
      <c r="A18" s="1" t="s">
        <v>3</v>
      </c>
      <c r="B18" s="6"/>
    </row>
    <row r="19" spans="1:5" x14ac:dyDescent="0.25">
      <c r="A19" s="1" t="s">
        <v>4</v>
      </c>
      <c r="B19" s="7"/>
    </row>
    <row r="20" spans="1:5" x14ac:dyDescent="0.25">
      <c r="A20" s="1" t="s">
        <v>211</v>
      </c>
      <c r="B20" s="6"/>
    </row>
    <row r="21" spans="1:5" x14ac:dyDescent="0.25">
      <c r="A21" s="1" t="s">
        <v>212</v>
      </c>
      <c r="B21" s="6"/>
    </row>
    <row r="22" spans="1:5" x14ac:dyDescent="0.25">
      <c r="A22" s="1" t="s">
        <v>213</v>
      </c>
      <c r="B22" s="7"/>
      <c r="C22" s="6"/>
      <c r="D22" s="6"/>
      <c r="E22" s="6"/>
    </row>
    <row r="23" spans="1:5" x14ac:dyDescent="0.25">
      <c r="A23" s="1" t="s">
        <v>11</v>
      </c>
      <c r="B23" s="8"/>
    </row>
    <row r="24" spans="1:5" x14ac:dyDescent="0.25">
      <c r="A24" s="1" t="s">
        <v>12</v>
      </c>
      <c r="B24" s="8"/>
    </row>
    <row r="25" spans="1:5" x14ac:dyDescent="0.25">
      <c r="A25" s="1" t="s">
        <v>225</v>
      </c>
      <c r="B25" s="7"/>
    </row>
    <row r="26" spans="1:5" x14ac:dyDescent="0.25">
      <c r="A26" s="1" t="s">
        <v>226</v>
      </c>
      <c r="B26" s="7"/>
    </row>
    <row r="27" spans="1:5" x14ac:dyDescent="0.25">
      <c r="A27" s="1" t="s">
        <v>13</v>
      </c>
      <c r="B27" s="14"/>
    </row>
    <row r="28" spans="1:5" x14ac:dyDescent="0.25">
      <c r="A28" s="1" t="s">
        <v>438</v>
      </c>
      <c r="B28" s="15" t="str">
        <f>IF(ISBLANK($B27),"",VLOOKUP($B27,FIDE_ID!$A:$B,2,FALSE))</f>
        <v/>
      </c>
      <c r="C28" s="6" t="str">
        <f>IF(ISBLANK($B27),"",IF(ISERROR(VLOOKUP($B28,FIDE_ID!$B:$C,2,FALSE)),"no license",IF(VLOOKUP($B28,FIDE_ID!$B:$C,2,FALSE)=0,"no license",VLOOKUP($B28,FIDE_ID!$B:$C,2,FALSE))))</f>
        <v/>
      </c>
    </row>
    <row r="29" spans="1:5" x14ac:dyDescent="0.25">
      <c r="A29" s="2" t="s">
        <v>227</v>
      </c>
      <c r="B29" s="14"/>
    </row>
    <row r="30" spans="1:5" x14ac:dyDescent="0.25">
      <c r="A30" s="2" t="s">
        <v>439</v>
      </c>
      <c r="B30" s="15" t="str">
        <f>IF(ISBLANK($B29),"",VLOOKUP($B29,FIDE_ID!$A:$B,2,FALSE))</f>
        <v/>
      </c>
      <c r="C30" s="6" t="str">
        <f>IF(ISBLANK($B29),"",IF(ISERROR(VLOOKUP($B30,FIDE_ID!$B:$C,2,FALSE)),"no license",IF(VLOOKUP($B30,FIDE_ID!$B:$C,2,FALSE)=0,"no license",VLOOKUP($B30,FIDE_ID!$B:$C,2,FALSE))))</f>
        <v/>
      </c>
    </row>
    <row r="31" spans="1:5" x14ac:dyDescent="0.25">
      <c r="A31" s="2" t="s">
        <v>232</v>
      </c>
      <c r="B31" s="14"/>
    </row>
    <row r="32" spans="1:5" x14ac:dyDescent="0.25">
      <c r="A32" s="2" t="s">
        <v>440</v>
      </c>
      <c r="B32" s="15" t="str">
        <f>IF(ISBLANK($B31),"",VLOOKUP($B31,FIDE_ID!$A:$B,2,FALSE))</f>
        <v/>
      </c>
      <c r="C32" s="6" t="str">
        <f>IF(ISBLANK($B31),"",IF(ISERROR(VLOOKUP($B32,FIDE_ID!$B:$C,2,FALSE)),"no license",IF(VLOOKUP($B32,FIDE_ID!$B:$C,2,FALSE)=0,"no license",VLOOKUP($B32,FIDE_ID!$B:$C,2,FALSE))))</f>
        <v/>
      </c>
    </row>
    <row r="33" spans="1:3" x14ac:dyDescent="0.25">
      <c r="A33" s="2" t="s">
        <v>228</v>
      </c>
      <c r="B33" s="7"/>
      <c r="C33" s="6"/>
    </row>
    <row r="34" spans="1:3" x14ac:dyDescent="0.25">
      <c r="A34" s="2" t="s">
        <v>233</v>
      </c>
      <c r="B34" s="14"/>
    </row>
    <row r="35" spans="1:3" x14ac:dyDescent="0.25">
      <c r="A35" s="2" t="s">
        <v>441</v>
      </c>
      <c r="B35" s="15" t="str">
        <f>IF(ISBLANK($B34),"",VLOOKUP($B34,FIDE_ID!$A:$B,2,FALSE))</f>
        <v/>
      </c>
      <c r="C35" s="6" t="str">
        <f>IF(ISBLANK($B34),"",IF(ISERROR(VLOOKUP($B35,FIDE_ID!$B:$C,2,FALSE)),"no license",IF(VLOOKUP($B35,FIDE_ID!$B:$C,2,FALSE)=0,"no license",VLOOKUP($B35,FIDE_ID!$B:$C,2,FALSE))))</f>
        <v/>
      </c>
    </row>
    <row r="36" spans="1:3" x14ac:dyDescent="0.25">
      <c r="A36" s="2" t="s">
        <v>234</v>
      </c>
      <c r="B36" s="14"/>
    </row>
    <row r="37" spans="1:3" x14ac:dyDescent="0.25">
      <c r="A37" s="2" t="s">
        <v>442</v>
      </c>
      <c r="B37" s="15" t="str">
        <f>IF(ISBLANK($B36),"",VLOOKUP($B36,FIDE_ID!$A:$B,2,FALSE))</f>
        <v/>
      </c>
      <c r="C37" s="6" t="str">
        <f>IF(ISBLANK($B36),"",IF(ISERROR(VLOOKUP($B37,FIDE_ID!$B:$C,2,FALSE)),"no license",IF(VLOOKUP($B37,FIDE_ID!$B:$C,2,FALSE)=0,"no license",VLOOKUP($B37,FIDE_ID!$B:$C,2,FALSE))))</f>
        <v/>
      </c>
    </row>
    <row r="38" spans="1:3" x14ac:dyDescent="0.25">
      <c r="A38" s="2" t="s">
        <v>235</v>
      </c>
      <c r="B38" s="14"/>
    </row>
    <row r="39" spans="1:3" x14ac:dyDescent="0.25">
      <c r="A39" s="2" t="s">
        <v>443</v>
      </c>
      <c r="B39" s="15" t="str">
        <f>IF(ISBLANK($B38),"",VLOOKUP($B38,FIDE_ID!$A:$B,2,FALSE))</f>
        <v/>
      </c>
      <c r="C39" s="6" t="str">
        <f>IF(ISBLANK($B38),"",IF(ISERROR(VLOOKUP($B39,FIDE_ID!$B:$C,2,FALSE)),"no license",IF(VLOOKUP($B39,FIDE_ID!$B:$C,2,FALSE)=0,"no license",VLOOKUP($B39,FIDE_ID!$B:$C,2,FALSE))))</f>
        <v/>
      </c>
    </row>
    <row r="40" spans="1:3" x14ac:dyDescent="0.25">
      <c r="A40" s="2" t="s">
        <v>236</v>
      </c>
      <c r="B40" s="14"/>
    </row>
    <row r="41" spans="1:3" x14ac:dyDescent="0.25">
      <c r="A41" s="2" t="s">
        <v>444</v>
      </c>
      <c r="B41" s="15" t="str">
        <f>IF(ISBLANK($B40),"",VLOOKUP($B40,FIDE_ID!$A:$B,2,FALSE))</f>
        <v/>
      </c>
      <c r="C41" s="6" t="str">
        <f>IF(ISBLANK($B40),"",IF(ISERROR(VLOOKUP($B41,FIDE_ID!$B:$C,2,FALSE)),"no license",IF(VLOOKUP($B41,FIDE_ID!$B:$C,2,FALSE)=0,"no license",VLOOKUP($B41,FIDE_ID!$B:$C,2,FALSE))))</f>
        <v/>
      </c>
    </row>
    <row r="42" spans="1:3" x14ac:dyDescent="0.25">
      <c r="A42" s="1" t="s">
        <v>14</v>
      </c>
      <c r="B42" s="14"/>
    </row>
    <row r="43" spans="1:3" x14ac:dyDescent="0.25">
      <c r="A43" s="1" t="s">
        <v>445</v>
      </c>
      <c r="B43" s="15" t="str">
        <f>IF(ISBLANK($B42),"",VLOOKUP($B42,FIDE_ID!$A:$B,2,FALSE))</f>
        <v/>
      </c>
      <c r="C43" s="6"/>
    </row>
    <row r="44" spans="1:3" x14ac:dyDescent="0.25">
      <c r="A44" s="2" t="s">
        <v>400</v>
      </c>
      <c r="B44" s="14"/>
    </row>
    <row r="45" spans="1:3" x14ac:dyDescent="0.25">
      <c r="A45" s="2" t="s">
        <v>446</v>
      </c>
      <c r="B45" s="15" t="str">
        <f>IF(ISBLANK($B44),"",VLOOKUP($B44,FIDE_ID!$A:$B,2,FALSE))</f>
        <v/>
      </c>
      <c r="C45" s="6"/>
    </row>
    <row r="46" spans="1:3" x14ac:dyDescent="0.25">
      <c r="A46" s="2" t="s">
        <v>401</v>
      </c>
      <c r="B46" s="14"/>
      <c r="C46" s="6"/>
    </row>
    <row r="47" spans="1:3" x14ac:dyDescent="0.25">
      <c r="A47" s="2" t="s">
        <v>447</v>
      </c>
      <c r="B47" s="15" t="str">
        <f>IF(ISBLANK($B46),"",VLOOKUP($B46,FIDE_ID!$A:$B,2,FALSE))</f>
        <v/>
      </c>
      <c r="C47" s="6"/>
    </row>
    <row r="48" spans="1:3" x14ac:dyDescent="0.25">
      <c r="A48" s="2" t="s">
        <v>402</v>
      </c>
      <c r="B48" s="14"/>
      <c r="C48" s="6"/>
    </row>
    <row r="49" spans="1:3" x14ac:dyDescent="0.25">
      <c r="A49" s="2" t="s">
        <v>448</v>
      </c>
      <c r="B49" s="15" t="str">
        <f>IF(ISBLANK($B48),"",VLOOKUP($B48,FIDE_ID!$A:$B,2,FALSE))</f>
        <v/>
      </c>
      <c r="C49" s="6"/>
    </row>
    <row r="50" spans="1:3" x14ac:dyDescent="0.25">
      <c r="A50" s="1" t="s">
        <v>15</v>
      </c>
      <c r="B50" s="7"/>
    </row>
    <row r="51" spans="1:3" x14ac:dyDescent="0.25">
      <c r="A51" s="1" t="s">
        <v>22</v>
      </c>
      <c r="B51" s="7"/>
      <c r="C51" t="s">
        <v>285</v>
      </c>
    </row>
    <row r="52" spans="1:3" x14ac:dyDescent="0.25">
      <c r="A52" s="2" t="s">
        <v>423</v>
      </c>
    </row>
    <row r="53" spans="1:3" x14ac:dyDescent="0.25">
      <c r="A53" s="2" t="s">
        <v>427</v>
      </c>
    </row>
    <row r="54" spans="1:3" x14ac:dyDescent="0.25">
      <c r="A54" s="2" t="s">
        <v>428</v>
      </c>
    </row>
    <row r="55" spans="1:3" x14ac:dyDescent="0.25">
      <c r="A55" s="2" t="s">
        <v>429</v>
      </c>
      <c r="B55" s="3"/>
    </row>
    <row r="56" spans="1:3" x14ac:dyDescent="0.25">
      <c r="A56" s="2" t="s">
        <v>430</v>
      </c>
    </row>
    <row r="57" spans="1:3" x14ac:dyDescent="0.25">
      <c r="A57" s="2" t="s">
        <v>431</v>
      </c>
    </row>
    <row r="58" spans="1:3" x14ac:dyDescent="0.25">
      <c r="A58" s="2" t="s">
        <v>432</v>
      </c>
    </row>
    <row r="59" spans="1:3" x14ac:dyDescent="0.25">
      <c r="A59" s="2" t="s">
        <v>429</v>
      </c>
      <c r="B59" s="3"/>
    </row>
    <row r="60" spans="1:3" x14ac:dyDescent="0.25">
      <c r="A60" s="2" t="s">
        <v>430</v>
      </c>
    </row>
    <row r="61" spans="1:3" x14ac:dyDescent="0.25">
      <c r="A61" s="2" t="s">
        <v>433</v>
      </c>
    </row>
    <row r="62" spans="1:3" x14ac:dyDescent="0.25">
      <c r="A62" s="2" t="s">
        <v>429</v>
      </c>
      <c r="B62" s="3"/>
    </row>
    <row r="63" spans="1:3" x14ac:dyDescent="0.25">
      <c r="A63" s="2" t="s">
        <v>430</v>
      </c>
    </row>
    <row r="64" spans="1:3" x14ac:dyDescent="0.25">
      <c r="A64" s="2" t="s">
        <v>287</v>
      </c>
      <c r="B64" s="9"/>
      <c r="C64" t="s">
        <v>288</v>
      </c>
    </row>
    <row r="65" spans="1:3" x14ac:dyDescent="0.25">
      <c r="A65" s="1" t="s">
        <v>289</v>
      </c>
      <c r="B65" s="7"/>
      <c r="C65" t="s">
        <v>288</v>
      </c>
    </row>
    <row r="66" spans="1:3" x14ac:dyDescent="0.25">
      <c r="A66" s="2" t="s">
        <v>434</v>
      </c>
    </row>
    <row r="67" spans="1:3" x14ac:dyDescent="0.25">
      <c r="A67" s="1" t="s">
        <v>290</v>
      </c>
      <c r="B67" s="7"/>
    </row>
    <row r="68" spans="1:3" x14ac:dyDescent="0.25">
      <c r="A68" s="2" t="s">
        <v>296</v>
      </c>
      <c r="B68" s="7"/>
    </row>
    <row r="69" spans="1:3" x14ac:dyDescent="0.25">
      <c r="A69" s="2" t="s">
        <v>435</v>
      </c>
    </row>
    <row r="70" spans="1:3" x14ac:dyDescent="0.25">
      <c r="A70" s="1" t="s">
        <v>297</v>
      </c>
      <c r="B70" s="7"/>
    </row>
    <row r="71" spans="1:3" x14ac:dyDescent="0.25">
      <c r="A71" s="2" t="s">
        <v>437</v>
      </c>
      <c r="B71" s="7"/>
    </row>
    <row r="72" spans="1:3" x14ac:dyDescent="0.25">
      <c r="A72" s="1" t="s">
        <v>301</v>
      </c>
      <c r="B72" s="7"/>
    </row>
    <row r="73" spans="1:3" x14ac:dyDescent="0.25">
      <c r="A73" s="2" t="s">
        <v>436</v>
      </c>
      <c r="B73" s="10"/>
    </row>
    <row r="74" spans="1:3" x14ac:dyDescent="0.25">
      <c r="A74" s="1" t="s">
        <v>305</v>
      </c>
      <c r="B74" s="10"/>
    </row>
    <row r="75" spans="1:3" x14ac:dyDescent="0.25">
      <c r="A75" s="2" t="s">
        <v>306</v>
      </c>
      <c r="B75" s="7"/>
    </row>
    <row r="76" spans="1:3" x14ac:dyDescent="0.25">
      <c r="A76" s="1" t="s">
        <v>307</v>
      </c>
      <c r="B76" s="16"/>
    </row>
    <row r="77" spans="1:3" x14ac:dyDescent="0.25">
      <c r="A77" s="1" t="s">
        <v>19</v>
      </c>
      <c r="B77" s="16"/>
    </row>
    <row r="78" spans="1:3" x14ac:dyDescent="0.25">
      <c r="A78" s="2" t="s">
        <v>20</v>
      </c>
      <c r="B78" s="10"/>
    </row>
    <row r="79" spans="1:3" x14ac:dyDescent="0.25">
      <c r="A79" s="2" t="s">
        <v>21</v>
      </c>
      <c r="B79" s="6"/>
    </row>
    <row r="81" spans="1:2" x14ac:dyDescent="0.25">
      <c r="A81" t="s">
        <v>199</v>
      </c>
      <c r="B81" t="s">
        <v>201</v>
      </c>
    </row>
    <row r="82" spans="1:2" x14ac:dyDescent="0.25">
      <c r="B82" t="s">
        <v>202</v>
      </c>
    </row>
    <row r="83" spans="1:2" x14ac:dyDescent="0.25">
      <c r="A83" t="s">
        <v>200</v>
      </c>
      <c r="B83" t="s">
        <v>206</v>
      </c>
    </row>
    <row r="84" spans="1:2" x14ac:dyDescent="0.25">
      <c r="B84" t="s">
        <v>207</v>
      </c>
    </row>
    <row r="85" spans="1:2" x14ac:dyDescent="0.25">
      <c r="B85" t="s">
        <v>208</v>
      </c>
    </row>
    <row r="86" spans="1:2" x14ac:dyDescent="0.25">
      <c r="A86" t="s">
        <v>205</v>
      </c>
      <c r="B86" t="s">
        <v>203</v>
      </c>
    </row>
    <row r="87" spans="1:2" x14ac:dyDescent="0.25">
      <c r="B87" t="s">
        <v>204</v>
      </c>
    </row>
    <row r="88" spans="1:2" x14ac:dyDescent="0.25">
      <c r="A88" t="s">
        <v>285</v>
      </c>
      <c r="B88" t="s">
        <v>286</v>
      </c>
    </row>
    <row r="89" spans="1:2" x14ac:dyDescent="0.25">
      <c r="A89" t="s">
        <v>288</v>
      </c>
      <c r="B89" t="s">
        <v>291</v>
      </c>
    </row>
  </sheetData>
  <dataValidations count="1">
    <dataValidation type="list" allowBlank="1" showInputMessage="1" showErrorMessage="1" promptTitle="Time Control Description" prompt="Please choose the Time Control Description out of the list." sqref="B51" xr:uid="{00000000-0002-0000-0000-000000000000}">
      <formula1>INDIRECT($B$50)</formula1>
    </dataValidation>
  </dataValidations>
  <printOptions gridLines="1"/>
  <pageMargins left="0.70866141732283472" right="0.70866141732283472" top="0.74803149606299213" bottom="0.74803149606299213" header="0.31496062992125984" footer="0.31496062992125984"/>
  <pageSetup paperSize="9" scale="71" orientation="portrait" r:id="rId1"/>
  <headerFooter>
    <oddHeader>&amp;C&amp;A</oddHeader>
    <oddFooter>&amp;R&amp;D - &amp;T</oddFooter>
  </headerFooter>
  <extLst>
    <ext xmlns:x14="http://schemas.microsoft.com/office/spreadsheetml/2009/9/main" uri="{CCE6A557-97BC-4b89-ADB6-D9C93CAAB3DF}">
      <x14:dataValidations xmlns:xm="http://schemas.microsoft.com/office/excel/2006/main" count="26">
        <x14:dataValidation type="list" allowBlank="1" showInputMessage="1" showErrorMessage="1" xr:uid="{00000000-0002-0000-0000-000007000000}">
          <x14:formula1>
            <xm:f>YesNo!$A$1:$A$2</xm:f>
          </x14:formula1>
          <xm:sqref>B10:B12 B67:B68 B75 B22:E22 B25:B26</xm:sqref>
        </x14:dataValidation>
        <x14:dataValidation type="list" allowBlank="1" showInputMessage="1" showErrorMessage="1" xr:uid="{00000000-0002-0000-0000-000009000000}">
          <x14:formula1>
            <xm:f>Tournament_System!$A$1:$A$8</xm:f>
          </x14:formula1>
          <xm:sqref>B19</xm:sqref>
        </x14:dataValidation>
        <x14:dataValidation type="list" allowBlank="1" showInputMessage="1" showErrorMessage="1" xr:uid="{00000000-0002-0000-0000-00000A000000}">
          <x14:formula1>
            <xm:f>Kind_of_Arbiters!$A$1:$A$5</xm:f>
          </x14:formula1>
          <xm:sqref>B33</xm:sqref>
        </x14:dataValidation>
        <x14:dataValidation type="list" allowBlank="1" showInputMessage="1" showErrorMessage="1" xr:uid="{00000000-0002-0000-0000-00000B000000}">
          <x14:formula1>
            <xm:f>Time_Control!$A$1:$A$3</xm:f>
          </x14:formula1>
          <xm:sqref>B50</xm:sqref>
        </x14:dataValidation>
        <x14:dataValidation type="list" allowBlank="1" showInputMessage="1" showErrorMessage="1" xr:uid="{00000000-0002-0000-0000-00000C000000}">
          <x14:formula1>
            <xm:f>Age_Limit!$A$1:$A$3</xm:f>
          </x14:formula1>
          <xm:sqref>B65</xm:sqref>
        </x14:dataValidation>
        <x14:dataValidation type="list" allowBlank="1" showInputMessage="1" showErrorMessage="1" xr:uid="{00000000-0002-0000-0000-00000D000000}">
          <x14:formula1>
            <xm:f>Tiebreak_Method!$A$1:$A$4</xm:f>
          </x14:formula1>
          <xm:sqref>B70</xm:sqref>
        </x14:dataValidation>
        <x14:dataValidation type="list" allowBlank="1" showInputMessage="1" showErrorMessage="1" xr:uid="{00000000-0002-0000-0000-00000E000000}">
          <x14:formula1>
            <xm:f>Software!$A$1:$A$9</xm:f>
          </x14:formula1>
          <xm:sqref>B72</xm:sqref>
        </x14:dataValidation>
        <x14:dataValidation type="list" allowBlank="1" showInputMessage="1" showErrorMessage="1" promptTitle="Time Control" prompt="Please choose the Time Control out of the list." xr:uid="{00000000-0002-0000-0000-00000F000000}">
          <x14:formula1>
            <xm:f>Time_Control!$A:$A</xm:f>
          </x14:formula1>
          <xm:sqref>B50</xm:sqref>
        </x14:dataValidation>
        <x14:dataValidation type="list" allowBlank="1" showInputMessage="1" showErrorMessage="1" promptTitle="Will FIDE Laws be followed?" prompt="Please choose Yes or No out of the list." xr:uid="{00000000-0002-0000-0000-000010000000}">
          <x14:formula1>
            <xm:f>YesNo!$A$1:$A$2</xm:f>
          </x14:formula1>
          <xm:sqref>B10</xm:sqref>
        </x14:dataValidation>
        <x14:dataValidation type="list" allowBlank="1" showInputMessage="1" showErrorMessage="1" promptTitle="National Championship 1.43a" prompt="Please choose Yes or No out of the list." xr:uid="{00000000-0002-0000-0000-000011000000}">
          <x14:formula1>
            <xm:f>YesNo!$A$1:$A$2</xm:f>
          </x14:formula1>
          <xm:sqref>B11</xm:sqref>
        </x14:dataValidation>
        <x14:dataValidation type="list" allowBlank="1" showInputMessage="1" showErrorMessage="1" promptTitle="FIDE Calendar" prompt="Please choose Yes or No out of the list." xr:uid="{00000000-0002-0000-0000-000012000000}">
          <x14:formula1>
            <xm:f>YesNo!$A$1:$A$2</xm:f>
          </x14:formula1>
          <xm:sqref>B12</xm:sqref>
        </x14:dataValidation>
        <x14:dataValidation type="list" allowBlank="1" showInputMessage="1" showErrorMessage="1" promptTitle="Tournament Report" prompt="Please choose the Tournament Report out of the list." xr:uid="{00000000-0002-0000-0000-000013000000}">
          <x14:formula1>
            <xm:f>Tournament_Report!$A:$A</xm:f>
          </x14:formula1>
          <xm:sqref>B13</xm:sqref>
        </x14:dataValidation>
        <x14:dataValidation type="list" allowBlank="1" showInputMessage="1" showErrorMessage="1" promptTitle="Tournament System" prompt="Please choose the Tournament System out of the list." xr:uid="{00000000-0002-0000-0000-000014000000}">
          <x14:formula1>
            <xm:f>Tournament_System!$A:$A</xm:f>
          </x14:formula1>
          <xm:sqref>B19</xm:sqref>
        </x14:dataValidation>
        <x14:dataValidation type="list" allowBlank="1" showInputMessage="1" showErrorMessage="1" promptTitle="Female players only" prompt="Please choose Yes or No out of the list." xr:uid="{00000000-0002-0000-0000-000015000000}">
          <x14:formula1>
            <xm:f>YesNo!$A$1:$A$2</xm:f>
          </x14:formula1>
          <xm:sqref>B22:E22 B25:B26</xm:sqref>
        </x14:dataValidation>
        <x14:dataValidation type="list" allowBlank="1" showInputMessage="1" showErrorMessage="1" promptTitle="Kind of Arbiters" prompt="Please choose the kind of arbiters out of the list." xr:uid="{00000000-0002-0000-0000-000016000000}">
          <x14:formula1>
            <xm:f>Kind_of_Arbiters!$A:$A</xm:f>
          </x14:formula1>
          <xm:sqref>B33</xm:sqref>
        </x14:dataValidation>
        <x14:dataValidation type="list" allowBlank="1" showInputMessage="1" showErrorMessage="1" promptTitle="All Digital Clocks" prompt="Please choose Yes or No out of the list." xr:uid="{00000000-0002-0000-0000-000017000000}">
          <x14:formula1>
            <xm:f>YesNo!$A$1:$A$2</xm:f>
          </x14:formula1>
          <xm:sqref>B67</xm:sqref>
        </x14:dataValidation>
        <x14:dataValidation type="list" allowBlank="1" showInputMessage="1" showErrorMessage="1" promptTitle="Age Limit" prompt="Please choose the Age Limit out of the list." xr:uid="{00000000-0002-0000-0000-000018000000}">
          <x14:formula1>
            <xm:f>Age_Limit!$A:$A</xm:f>
          </x14:formula1>
          <xm:sqref>B65</xm:sqref>
        </x14:dataValidation>
        <x14:dataValidation type="list" allowBlank="1" showInputMessage="1" showErrorMessage="1" promptTitle="Internet Transmission" prompt="Please choose Yes or No out of the list." xr:uid="{00000000-0002-0000-0000-000019000000}">
          <x14:formula1>
            <xm:f>YesNo!$A$1:$A$2</xm:f>
          </x14:formula1>
          <xm:sqref>B68</xm:sqref>
        </x14:dataValidation>
        <x14:dataValidation type="list" allowBlank="1" showInputMessage="1" showErrorMessage="1" promptTitle="Tiebreak Method" prompt="Please choose the Age Limit out of the list." xr:uid="{00000000-0002-0000-0000-00001A000000}">
          <x14:formula1>
            <xm:f>Tiebreak_Method!$A:$A</xm:f>
          </x14:formula1>
          <xm:sqref>B70</xm:sqref>
        </x14:dataValidation>
        <x14:dataValidation type="list" allowBlank="1" showInputMessage="1" showErrorMessage="1" promptTitle="Will PGN be provided?" prompt="Please choose Yes or No out of the list." xr:uid="{00000000-0002-0000-0000-00001C000000}">
          <x14:formula1>
            <xm:f>YesNo!$A$1:$A$2</xm:f>
          </x14:formula1>
          <xm:sqref>B75</xm:sqref>
        </x14:dataValidation>
        <x14:dataValidation type="list" allowBlank="1" showInputMessage="1" showErrorMessage="1" promptTitle="Software" prompt="Please choose the Age Limit out of the list." xr:uid="{00000000-0002-0000-0000-00001B000000}">
          <x14:formula1>
            <xm:f>Software!$A:$A</xm:f>
          </x14:formula1>
          <xm:sqref>B72</xm:sqref>
        </x14:dataValidation>
        <x14:dataValidation type="list" allowBlank="1" showInputMessage="1" showErrorMessage="1" xr:uid="{57D3830C-1951-4854-BA04-123E2286CE58}">
          <x14:formula1>
            <xm:f>Time_Control!$E$2:$E$3</xm:f>
          </x14:formula1>
          <xm:sqref>B55 B59 B62</xm:sqref>
        </x14:dataValidation>
        <x14:dataValidation type="list" allowBlank="1" showInputMessage="1" showErrorMessage="1" xr:uid="{CE33B69F-DE7B-4C21-8110-E6DA2E8E3D0B}">
          <x14:formula1>
            <xm:f>Tournament_Type!$A$1:$A$2</xm:f>
          </x14:formula1>
          <xm:sqref>B13</xm:sqref>
        </x14:dataValidation>
        <x14:dataValidation type="list" allowBlank="1" showInputMessage="1" showErrorMessage="1" promptTitle="Tournament Type" prompt="Please choose the Tournament Type out of the list." xr:uid="{DBB1AA5F-7AFB-4BCF-B47F-C277CE5270D6}">
          <x14:formula1>
            <xm:f>Tournament_Type!$A$1:$A$2</xm:f>
          </x14:formula1>
          <xm:sqref>B14</xm:sqref>
        </x14:dataValidation>
        <x14:dataValidation type="list" allowBlank="1" showInputMessage="1" showErrorMessage="1" xr:uid="{A0F7F1C4-2D60-40B0-A7EF-FAE46264B8C7}">
          <x14:formula1>
            <xm:f>FIDE_ID!$A$3:$A$515</xm:f>
          </x14:formula1>
          <xm:sqref>B27 B29 B31 B34 B36 B38 B40 B42 B44 B46 B48</xm:sqref>
        </x14:dataValidation>
        <x14:dataValidation type="list" allowBlank="1" showInputMessage="1" showErrorMessage="1" promptTitle="Chief Arbiter Name" prompt="Please choose the Chief Arbiter out of the list." xr:uid="{00000000-0002-0000-0000-00001F000000}">
          <x14:formula1>
            <xm:f>FIDE_ID!$A:$A</xm:f>
          </x14:formula1>
          <xm:sqref>B27 B46 B44 B42 B40 B36 B34 B31 B29 B38 B48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.5703125" bestFit="1" customWidth="1"/>
    <col min="2" max="2" width="36.5703125" bestFit="1" customWidth="1"/>
    <col min="3" max="3" width="17.42578125" bestFit="1" customWidth="1"/>
    <col min="4" max="4" width="24.28515625" bestFit="1" customWidth="1"/>
    <col min="5" max="5" width="26.28515625" bestFit="1" customWidth="1"/>
    <col min="6" max="6" width="12.85546875" bestFit="1" customWidth="1"/>
    <col min="7" max="7" width="13.5703125" bestFit="1" customWidth="1"/>
    <col min="8" max="8" width="24.7109375" bestFit="1" customWidth="1"/>
  </cols>
  <sheetData>
    <row r="1" spans="1:8" x14ac:dyDescent="0.25">
      <c r="A1" t="s">
        <v>342</v>
      </c>
      <c r="B1" t="s">
        <v>0</v>
      </c>
      <c r="C1" t="s">
        <v>340</v>
      </c>
      <c r="D1" t="s">
        <v>337</v>
      </c>
      <c r="E1" t="s">
        <v>338</v>
      </c>
      <c r="F1" t="s">
        <v>339</v>
      </c>
      <c r="G1" t="s">
        <v>295</v>
      </c>
      <c r="H1" t="s">
        <v>341</v>
      </c>
    </row>
    <row r="2" spans="1:8" x14ac:dyDescent="0.25">
      <c r="A2" s="6"/>
      <c r="B2" s="6"/>
      <c r="C2" s="17"/>
      <c r="D2" s="17"/>
      <c r="F2" s="17"/>
      <c r="G2" s="17"/>
      <c r="H2" s="17"/>
    </row>
    <row r="3" spans="1:8" x14ac:dyDescent="0.25">
      <c r="B3" s="6"/>
      <c r="C3" s="17"/>
      <c r="D3" s="17"/>
      <c r="F3" s="17"/>
      <c r="G3" s="17"/>
      <c r="H3" s="17"/>
    </row>
    <row r="4" spans="1:8" x14ac:dyDescent="0.25">
      <c r="B4" s="6"/>
      <c r="C4" s="17"/>
      <c r="D4" s="17"/>
      <c r="F4" s="17"/>
      <c r="G4" s="17"/>
      <c r="H4" s="17"/>
    </row>
    <row r="5" spans="1:8" x14ac:dyDescent="0.25">
      <c r="B5" s="6"/>
      <c r="C5" s="17"/>
      <c r="D5" s="17"/>
      <c r="F5" s="17"/>
      <c r="G5" s="17"/>
      <c r="H5" s="17"/>
    </row>
    <row r="6" spans="1:8" x14ac:dyDescent="0.25">
      <c r="B6" s="6"/>
      <c r="C6" s="17"/>
      <c r="D6" s="17"/>
      <c r="F6" s="17"/>
      <c r="G6" s="17"/>
      <c r="H6" s="17"/>
    </row>
    <row r="7" spans="1:8" x14ac:dyDescent="0.25">
      <c r="B7" s="6"/>
      <c r="C7" s="17"/>
      <c r="D7" s="17"/>
      <c r="F7" s="17"/>
      <c r="G7" s="17"/>
      <c r="H7" s="17"/>
    </row>
    <row r="8" spans="1:8" x14ac:dyDescent="0.25">
      <c r="B8" s="6"/>
      <c r="C8" s="17"/>
      <c r="D8" s="17"/>
      <c r="F8" s="17"/>
      <c r="G8" s="17"/>
      <c r="H8" s="17"/>
    </row>
    <row r="9" spans="1:8" x14ac:dyDescent="0.25">
      <c r="B9" s="6"/>
      <c r="C9" s="17"/>
      <c r="D9" s="17"/>
      <c r="F9" s="17"/>
      <c r="G9" s="17"/>
      <c r="H9" s="17"/>
    </row>
    <row r="10" spans="1:8" x14ac:dyDescent="0.25">
      <c r="B10" s="6"/>
      <c r="C10" s="17"/>
      <c r="D10" s="17"/>
      <c r="F10" s="17"/>
      <c r="G10" s="17"/>
      <c r="H10" s="1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/>
  </sheetViews>
  <sheetFormatPr defaultRowHeight="15" x14ac:dyDescent="0.25"/>
  <cols>
    <col min="1" max="1" width="33.140625" bestFit="1" customWidth="1"/>
    <col min="2" max="2" width="34.28515625" customWidth="1"/>
    <col min="3" max="3" width="44" bestFit="1" customWidth="1"/>
    <col min="5" max="5" width="12.7109375" bestFit="1" customWidth="1"/>
    <col min="6" max="6" width="16.140625" bestFit="1" customWidth="1"/>
    <col min="7" max="7" width="44" bestFit="1" customWidth="1"/>
    <col min="8" max="8" width="34.28515625" bestFit="1" customWidth="1"/>
  </cols>
  <sheetData>
    <row r="1" spans="1:8" x14ac:dyDescent="0.25">
      <c r="A1" s="1" t="s">
        <v>0</v>
      </c>
      <c r="B1" s="3" t="str">
        <f>IF('FIDE Registration Form'!$B15=0,"",'FIDE Registration Form'!$B15)</f>
        <v/>
      </c>
      <c r="C1" t="s">
        <v>707</v>
      </c>
      <c r="E1" t="s">
        <v>708</v>
      </c>
      <c r="F1" t="s">
        <v>709</v>
      </c>
      <c r="G1" t="s">
        <v>707</v>
      </c>
      <c r="H1" t="s">
        <v>712</v>
      </c>
    </row>
    <row r="2" spans="1:8" x14ac:dyDescent="0.25">
      <c r="A2" s="1" t="s">
        <v>214</v>
      </c>
      <c r="E2" t="s">
        <v>214</v>
      </c>
      <c r="F2" s="18">
        <v>45905</v>
      </c>
      <c r="G2" s="17">
        <v>1</v>
      </c>
      <c r="H2" t="s">
        <v>710</v>
      </c>
    </row>
    <row r="3" spans="1:8" x14ac:dyDescent="0.25">
      <c r="A3" s="1" t="s">
        <v>215</v>
      </c>
      <c r="E3" t="s">
        <v>215</v>
      </c>
      <c r="F3" s="18">
        <v>45926</v>
      </c>
      <c r="G3" s="17">
        <v>1</v>
      </c>
      <c r="H3" t="s">
        <v>710</v>
      </c>
    </row>
    <row r="4" spans="1:8" x14ac:dyDescent="0.25">
      <c r="A4" s="1" t="s">
        <v>216</v>
      </c>
      <c r="E4" t="s">
        <v>216</v>
      </c>
      <c r="F4" s="18">
        <v>45947</v>
      </c>
      <c r="G4" s="17">
        <v>2</v>
      </c>
    </row>
    <row r="5" spans="1:8" x14ac:dyDescent="0.25">
      <c r="A5" s="1" t="s">
        <v>217</v>
      </c>
      <c r="E5" t="s">
        <v>217</v>
      </c>
      <c r="F5" s="18">
        <v>45968</v>
      </c>
      <c r="G5" s="17">
        <v>3</v>
      </c>
      <c r="H5" t="s">
        <v>711</v>
      </c>
    </row>
    <row r="6" spans="1:8" x14ac:dyDescent="0.25">
      <c r="A6" s="1" t="s">
        <v>218</v>
      </c>
      <c r="E6" t="s">
        <v>218</v>
      </c>
      <c r="F6" s="18">
        <v>45989</v>
      </c>
      <c r="G6" s="17">
        <v>3</v>
      </c>
      <c r="H6" t="s">
        <v>711</v>
      </c>
    </row>
    <row r="7" spans="1:8" x14ac:dyDescent="0.25">
      <c r="A7" s="1" t="s">
        <v>219</v>
      </c>
      <c r="E7" t="s">
        <v>219</v>
      </c>
      <c r="F7" s="18">
        <v>46010</v>
      </c>
      <c r="G7" s="17">
        <v>4</v>
      </c>
    </row>
    <row r="8" spans="1:8" x14ac:dyDescent="0.25">
      <c r="A8" s="1" t="s">
        <v>220</v>
      </c>
      <c r="E8" t="s">
        <v>220</v>
      </c>
      <c r="F8" s="18">
        <v>45666</v>
      </c>
      <c r="G8" s="17">
        <v>5</v>
      </c>
    </row>
    <row r="9" spans="1:8" x14ac:dyDescent="0.25">
      <c r="A9" s="1" t="s">
        <v>221</v>
      </c>
    </row>
    <row r="10" spans="1:8" x14ac:dyDescent="0.25">
      <c r="A10" s="1" t="s">
        <v>222</v>
      </c>
    </row>
    <row r="11" spans="1:8" x14ac:dyDescent="0.25">
      <c r="A11" s="1" t="s">
        <v>223</v>
      </c>
    </row>
    <row r="12" spans="1:8" x14ac:dyDescent="0.25">
      <c r="A12" s="1" t="s">
        <v>224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/>
  </sheetViews>
  <sheetFormatPr defaultRowHeight="15" x14ac:dyDescent="0.25"/>
  <sheetData>
    <row r="1" spans="1:1" x14ac:dyDescent="0.25">
      <c r="A1" t="s">
        <v>191</v>
      </c>
    </row>
    <row r="2" spans="1:1" x14ac:dyDescent="0.25">
      <c r="A2" t="s">
        <v>192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RowHeight="15" x14ac:dyDescent="0.25"/>
  <cols>
    <col min="1" max="1" width="37" bestFit="1" customWidth="1"/>
  </cols>
  <sheetData>
    <row r="1" spans="1:1" x14ac:dyDescent="0.25">
      <c r="A1" t="s">
        <v>196</v>
      </c>
    </row>
    <row r="2" spans="1:1" x14ac:dyDescent="0.25">
      <c r="A2" t="s">
        <v>197</v>
      </c>
    </row>
    <row r="3" spans="1:1" x14ac:dyDescent="0.25">
      <c r="A3" t="s">
        <v>198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E2DFB-F295-4B95-A180-1A0ABAF2F25B}">
  <dimension ref="A1:A2"/>
  <sheetViews>
    <sheetView workbookViewId="0"/>
  </sheetViews>
  <sheetFormatPr defaultRowHeight="15" x14ac:dyDescent="0.25"/>
  <cols>
    <col min="1" max="1" width="14" bestFit="1" customWidth="1"/>
  </cols>
  <sheetData>
    <row r="1" spans="1:1" x14ac:dyDescent="0.25">
      <c r="A1" t="s">
        <v>450</v>
      </c>
    </row>
    <row r="2" spans="1:1" x14ac:dyDescent="0.25">
      <c r="A2" t="s">
        <v>451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8"/>
  <sheetViews>
    <sheetView workbookViewId="0"/>
  </sheetViews>
  <sheetFormatPr defaultRowHeight="15" x14ac:dyDescent="0.25"/>
  <cols>
    <col min="1" max="1" width="13.5703125" bestFit="1" customWidth="1"/>
  </cols>
  <sheetData>
    <row r="1" spans="1:1" x14ac:dyDescent="0.25">
      <c r="A1" t="s">
        <v>5</v>
      </c>
    </row>
    <row r="2" spans="1:1" x14ac:dyDescent="0.25">
      <c r="A2" t="s">
        <v>6</v>
      </c>
    </row>
    <row r="3" spans="1:1" x14ac:dyDescent="0.25">
      <c r="A3" t="s">
        <v>9</v>
      </c>
    </row>
    <row r="4" spans="1:1" x14ac:dyDescent="0.25">
      <c r="A4" t="s">
        <v>209</v>
      </c>
    </row>
    <row r="5" spans="1:1" x14ac:dyDescent="0.25">
      <c r="A5" t="s">
        <v>210</v>
      </c>
    </row>
    <row r="6" spans="1:1" x14ac:dyDescent="0.25">
      <c r="A6" t="s">
        <v>7</v>
      </c>
    </row>
    <row r="7" spans="1:1" x14ac:dyDescent="0.25">
      <c r="A7" t="s">
        <v>8</v>
      </c>
    </row>
    <row r="8" spans="1:1" x14ac:dyDescent="0.25">
      <c r="A8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515"/>
  <sheetViews>
    <sheetView workbookViewId="0">
      <pane ySplit="1" topLeftCell="A2" activePane="bottomLeft" state="frozen"/>
      <selection pane="bottomLeft" activeCell="C121" sqref="C121"/>
    </sheetView>
  </sheetViews>
  <sheetFormatPr defaultRowHeight="15" x14ac:dyDescent="0.25"/>
  <cols>
    <col min="1" max="1" width="39.85546875" bestFit="1" customWidth="1"/>
    <col min="2" max="2" width="9.7109375" bestFit="1" customWidth="1"/>
    <col min="3" max="3" width="10.28515625" bestFit="1" customWidth="1"/>
  </cols>
  <sheetData>
    <row r="1" spans="1:3" x14ac:dyDescent="0.25">
      <c r="A1" t="s">
        <v>482</v>
      </c>
      <c r="B1" t="s">
        <v>189</v>
      </c>
      <c r="C1" t="s">
        <v>704</v>
      </c>
    </row>
    <row r="2" spans="1:3" x14ac:dyDescent="0.25">
      <c r="A2" t="s">
        <v>726</v>
      </c>
      <c r="B2">
        <v>212113</v>
      </c>
      <c r="C2" t="s">
        <v>704</v>
      </c>
    </row>
    <row r="3" spans="1:3" x14ac:dyDescent="0.25">
      <c r="A3" t="s">
        <v>483</v>
      </c>
      <c r="B3" s="11">
        <v>2800462</v>
      </c>
      <c r="C3" t="s">
        <v>703</v>
      </c>
    </row>
    <row r="4" spans="1:3" x14ac:dyDescent="0.25">
      <c r="A4" t="s">
        <v>484</v>
      </c>
      <c r="B4" s="11">
        <v>1708830</v>
      </c>
      <c r="C4" t="s">
        <v>704</v>
      </c>
    </row>
    <row r="5" spans="1:3" x14ac:dyDescent="0.25">
      <c r="A5" t="s">
        <v>63</v>
      </c>
      <c r="B5" s="11">
        <v>200972</v>
      </c>
      <c r="C5" t="s">
        <v>704</v>
      </c>
    </row>
    <row r="6" spans="1:3" x14ac:dyDescent="0.25">
      <c r="A6" t="s">
        <v>485</v>
      </c>
      <c r="B6" s="11">
        <v>638650</v>
      </c>
      <c r="C6" t="s">
        <v>704</v>
      </c>
    </row>
    <row r="7" spans="1:3" x14ac:dyDescent="0.25">
      <c r="A7" t="s">
        <v>64</v>
      </c>
      <c r="B7" s="11">
        <v>201596</v>
      </c>
      <c r="C7" t="s">
        <v>704</v>
      </c>
    </row>
    <row r="8" spans="1:3" x14ac:dyDescent="0.25">
      <c r="A8" t="s">
        <v>65</v>
      </c>
      <c r="B8" s="11">
        <v>203289</v>
      </c>
      <c r="C8" t="s">
        <v>704</v>
      </c>
    </row>
    <row r="9" spans="1:3" x14ac:dyDescent="0.25">
      <c r="A9" t="s">
        <v>718</v>
      </c>
      <c r="B9" s="11">
        <v>256900</v>
      </c>
      <c r="C9" t="s">
        <v>704</v>
      </c>
    </row>
    <row r="10" spans="1:3" x14ac:dyDescent="0.25">
      <c r="A10" t="s">
        <v>486</v>
      </c>
      <c r="B10" s="11"/>
      <c r="C10" t="s">
        <v>703</v>
      </c>
    </row>
    <row r="11" spans="1:3" x14ac:dyDescent="0.25">
      <c r="A11" t="s">
        <v>487</v>
      </c>
      <c r="B11" s="11">
        <v>8501009</v>
      </c>
      <c r="C11" t="s">
        <v>704</v>
      </c>
    </row>
    <row r="12" spans="1:3" x14ac:dyDescent="0.25">
      <c r="A12" t="s">
        <v>488</v>
      </c>
      <c r="B12" s="11">
        <v>253154</v>
      </c>
      <c r="C12" t="s">
        <v>704</v>
      </c>
    </row>
    <row r="13" spans="1:3" x14ac:dyDescent="0.25">
      <c r="A13" t="s">
        <v>467</v>
      </c>
      <c r="B13" s="11">
        <v>13500759</v>
      </c>
      <c r="C13" t="s">
        <v>704</v>
      </c>
    </row>
    <row r="14" spans="1:3" x14ac:dyDescent="0.25">
      <c r="A14" t="s">
        <v>732</v>
      </c>
      <c r="B14" s="11">
        <v>36059633</v>
      </c>
      <c r="C14" t="s">
        <v>704</v>
      </c>
    </row>
    <row r="15" spans="1:3" x14ac:dyDescent="0.25">
      <c r="A15" t="s">
        <v>489</v>
      </c>
      <c r="B15">
        <v>207187</v>
      </c>
      <c r="C15" t="s">
        <v>703</v>
      </c>
    </row>
    <row r="16" spans="1:3" x14ac:dyDescent="0.25">
      <c r="A16" t="s">
        <v>490</v>
      </c>
      <c r="B16" s="11">
        <v>287938</v>
      </c>
      <c r="C16" t="s">
        <v>704</v>
      </c>
    </row>
    <row r="17" spans="1:3" x14ac:dyDescent="0.25">
      <c r="A17" t="s">
        <v>491</v>
      </c>
      <c r="B17" s="11">
        <v>225185</v>
      </c>
      <c r="C17" t="s">
        <v>704</v>
      </c>
    </row>
    <row r="18" spans="1:3" x14ac:dyDescent="0.25">
      <c r="A18" t="s">
        <v>362</v>
      </c>
      <c r="B18" s="11">
        <v>261408</v>
      </c>
      <c r="C18" t="s">
        <v>704</v>
      </c>
    </row>
    <row r="19" spans="1:3" x14ac:dyDescent="0.25">
      <c r="A19" t="s">
        <v>492</v>
      </c>
      <c r="B19" s="11">
        <v>656836</v>
      </c>
      <c r="C19" t="s">
        <v>704</v>
      </c>
    </row>
    <row r="20" spans="1:3" x14ac:dyDescent="0.25">
      <c r="A20" t="s">
        <v>344</v>
      </c>
      <c r="B20" s="11">
        <v>1036840</v>
      </c>
      <c r="C20" t="s">
        <v>704</v>
      </c>
    </row>
    <row r="21" spans="1:3" x14ac:dyDescent="0.25">
      <c r="A21" t="s">
        <v>493</v>
      </c>
      <c r="B21" s="11">
        <v>208060</v>
      </c>
      <c r="C21" t="s">
        <v>704</v>
      </c>
    </row>
    <row r="22" spans="1:3" x14ac:dyDescent="0.25">
      <c r="A22" t="s">
        <v>494</v>
      </c>
      <c r="B22" s="11">
        <v>293024</v>
      </c>
      <c r="C22" t="s">
        <v>703</v>
      </c>
    </row>
    <row r="23" spans="1:3" x14ac:dyDescent="0.25">
      <c r="A23" t="s">
        <v>24</v>
      </c>
      <c r="B23" s="11">
        <v>210625</v>
      </c>
      <c r="C23" t="s">
        <v>705</v>
      </c>
    </row>
    <row r="24" spans="1:3" x14ac:dyDescent="0.25">
      <c r="A24" t="s">
        <v>334</v>
      </c>
      <c r="B24" s="11">
        <v>234877</v>
      </c>
      <c r="C24" t="s">
        <v>705</v>
      </c>
    </row>
    <row r="25" spans="1:3" x14ac:dyDescent="0.25">
      <c r="A25" t="s">
        <v>345</v>
      </c>
      <c r="B25">
        <v>232599</v>
      </c>
      <c r="C25" t="s">
        <v>704</v>
      </c>
    </row>
    <row r="26" spans="1:3" x14ac:dyDescent="0.25">
      <c r="A26" t="s">
        <v>495</v>
      </c>
      <c r="B26" s="11"/>
      <c r="C26" t="s">
        <v>703</v>
      </c>
    </row>
    <row r="27" spans="1:3" x14ac:dyDescent="0.25">
      <c r="A27" t="s">
        <v>496</v>
      </c>
      <c r="B27" s="11">
        <v>24142654</v>
      </c>
      <c r="C27" t="s">
        <v>704</v>
      </c>
    </row>
    <row r="28" spans="1:3" x14ac:dyDescent="0.25">
      <c r="A28" t="s">
        <v>66</v>
      </c>
      <c r="B28" s="11">
        <v>225665</v>
      </c>
      <c r="C28" t="s">
        <v>704</v>
      </c>
    </row>
    <row r="29" spans="1:3" x14ac:dyDescent="0.25">
      <c r="A29" t="s">
        <v>67</v>
      </c>
      <c r="B29" s="11">
        <v>203165</v>
      </c>
      <c r="C29" t="s">
        <v>705</v>
      </c>
    </row>
    <row r="30" spans="1:3" x14ac:dyDescent="0.25">
      <c r="A30" t="s">
        <v>497</v>
      </c>
      <c r="B30" s="11">
        <v>24630985</v>
      </c>
      <c r="C30" t="s">
        <v>704</v>
      </c>
    </row>
    <row r="31" spans="1:3" x14ac:dyDescent="0.25">
      <c r="A31" t="s">
        <v>68</v>
      </c>
      <c r="B31" s="11">
        <v>203530</v>
      </c>
      <c r="C31" t="s">
        <v>704</v>
      </c>
    </row>
    <row r="32" spans="1:3" x14ac:dyDescent="0.25">
      <c r="A32" t="s">
        <v>346</v>
      </c>
      <c r="B32" s="11">
        <v>232254</v>
      </c>
      <c r="C32" t="s">
        <v>704</v>
      </c>
    </row>
    <row r="33" spans="1:3" x14ac:dyDescent="0.25">
      <c r="A33" t="s">
        <v>733</v>
      </c>
      <c r="B33" s="11">
        <v>26002825</v>
      </c>
      <c r="C33" t="s">
        <v>704</v>
      </c>
    </row>
    <row r="34" spans="1:3" x14ac:dyDescent="0.25">
      <c r="A34" t="s">
        <v>34</v>
      </c>
      <c r="B34" s="11">
        <v>204293</v>
      </c>
      <c r="C34" t="s">
        <v>704</v>
      </c>
    </row>
    <row r="35" spans="1:3" x14ac:dyDescent="0.25">
      <c r="A35" t="s">
        <v>347</v>
      </c>
      <c r="B35" s="11">
        <v>232602</v>
      </c>
      <c r="C35" t="s">
        <v>704</v>
      </c>
    </row>
    <row r="36" spans="1:3" x14ac:dyDescent="0.25">
      <c r="A36" t="s">
        <v>343</v>
      </c>
      <c r="B36" s="11">
        <v>237280</v>
      </c>
      <c r="C36" t="s">
        <v>704</v>
      </c>
    </row>
    <row r="37" spans="1:3" x14ac:dyDescent="0.25">
      <c r="A37" t="s">
        <v>498</v>
      </c>
      <c r="B37" s="11">
        <v>14515741</v>
      </c>
      <c r="C37" t="s">
        <v>704</v>
      </c>
    </row>
    <row r="38" spans="1:3" x14ac:dyDescent="0.25">
      <c r="A38" t="s">
        <v>499</v>
      </c>
      <c r="B38" s="11">
        <v>24665185</v>
      </c>
      <c r="C38" t="s">
        <v>704</v>
      </c>
    </row>
    <row r="39" spans="1:3" x14ac:dyDescent="0.25">
      <c r="A39" t="s">
        <v>468</v>
      </c>
      <c r="B39" s="11">
        <v>200638</v>
      </c>
      <c r="C39" t="s">
        <v>705</v>
      </c>
    </row>
    <row r="40" spans="1:3" x14ac:dyDescent="0.25">
      <c r="A40" t="s">
        <v>314</v>
      </c>
      <c r="B40" s="11">
        <v>246301</v>
      </c>
      <c r="C40" t="s">
        <v>705</v>
      </c>
    </row>
    <row r="41" spans="1:3" x14ac:dyDescent="0.25">
      <c r="A41" t="s">
        <v>69</v>
      </c>
      <c r="B41" s="11">
        <v>208400</v>
      </c>
      <c r="C41" t="s">
        <v>705</v>
      </c>
    </row>
    <row r="42" spans="1:3" x14ac:dyDescent="0.25">
      <c r="A42" t="s">
        <v>70</v>
      </c>
      <c r="B42" s="11">
        <v>206768</v>
      </c>
      <c r="C42" t="s">
        <v>705</v>
      </c>
    </row>
    <row r="43" spans="1:3" x14ac:dyDescent="0.25">
      <c r="A43" t="s">
        <v>500</v>
      </c>
      <c r="B43" s="11">
        <v>28585755</v>
      </c>
      <c r="C43" t="s">
        <v>704</v>
      </c>
    </row>
    <row r="44" spans="1:3" x14ac:dyDescent="0.25">
      <c r="A44" t="s">
        <v>387</v>
      </c>
      <c r="B44" s="11">
        <v>208418</v>
      </c>
      <c r="C44" t="s">
        <v>704</v>
      </c>
    </row>
    <row r="45" spans="1:3" x14ac:dyDescent="0.25">
      <c r="A45" t="s">
        <v>501</v>
      </c>
      <c r="B45" s="11">
        <v>20662491</v>
      </c>
      <c r="C45" t="s">
        <v>704</v>
      </c>
    </row>
    <row r="46" spans="1:3" x14ac:dyDescent="0.25">
      <c r="A46" t="s">
        <v>502</v>
      </c>
      <c r="B46">
        <v>20662505</v>
      </c>
      <c r="C46" t="s">
        <v>704</v>
      </c>
    </row>
    <row r="47" spans="1:3" x14ac:dyDescent="0.25">
      <c r="A47" t="s">
        <v>382</v>
      </c>
      <c r="B47">
        <v>1022989</v>
      </c>
      <c r="C47" t="s">
        <v>705</v>
      </c>
    </row>
    <row r="48" spans="1:3" x14ac:dyDescent="0.25">
      <c r="A48" t="s">
        <v>503</v>
      </c>
      <c r="B48" s="11">
        <v>655945</v>
      </c>
      <c r="C48" t="s">
        <v>704</v>
      </c>
    </row>
    <row r="49" spans="1:3" x14ac:dyDescent="0.25">
      <c r="A49" t="s">
        <v>504</v>
      </c>
      <c r="B49" s="11"/>
      <c r="C49" t="s">
        <v>705</v>
      </c>
    </row>
    <row r="50" spans="1:3" x14ac:dyDescent="0.25">
      <c r="A50" t="s">
        <v>505</v>
      </c>
      <c r="B50" s="11">
        <v>260827</v>
      </c>
      <c r="C50" t="s">
        <v>704</v>
      </c>
    </row>
    <row r="51" spans="1:3" x14ac:dyDescent="0.25">
      <c r="A51" t="s">
        <v>71</v>
      </c>
      <c r="B51" s="11">
        <v>206172</v>
      </c>
      <c r="C51" t="s">
        <v>705</v>
      </c>
    </row>
    <row r="52" spans="1:3" x14ac:dyDescent="0.25">
      <c r="A52" t="s">
        <v>506</v>
      </c>
      <c r="B52">
        <v>287482</v>
      </c>
      <c r="C52" t="s">
        <v>703</v>
      </c>
    </row>
    <row r="53" spans="1:3" x14ac:dyDescent="0.25">
      <c r="A53" t="s">
        <v>72</v>
      </c>
      <c r="B53" s="11">
        <v>200522</v>
      </c>
      <c r="C53" t="s">
        <v>705</v>
      </c>
    </row>
    <row r="54" spans="1:3" x14ac:dyDescent="0.25">
      <c r="A54" t="s">
        <v>469</v>
      </c>
      <c r="B54" s="11">
        <v>249882</v>
      </c>
      <c r="C54" t="s">
        <v>704</v>
      </c>
    </row>
    <row r="55" spans="1:3" x14ac:dyDescent="0.25">
      <c r="A55" t="s">
        <v>470</v>
      </c>
      <c r="B55" s="11">
        <v>250422</v>
      </c>
      <c r="C55" t="s">
        <v>704</v>
      </c>
    </row>
    <row r="56" spans="1:3" x14ac:dyDescent="0.25">
      <c r="A56" t="s">
        <v>73</v>
      </c>
      <c r="B56" s="11">
        <v>262536</v>
      </c>
      <c r="C56" t="s">
        <v>705</v>
      </c>
    </row>
    <row r="57" spans="1:3" x14ac:dyDescent="0.25">
      <c r="A57" t="s">
        <v>507</v>
      </c>
      <c r="B57" s="11">
        <v>294799</v>
      </c>
      <c r="C57" t="s">
        <v>704</v>
      </c>
    </row>
    <row r="58" spans="1:3" x14ac:dyDescent="0.25">
      <c r="A58" t="s">
        <v>508</v>
      </c>
      <c r="B58" s="11">
        <v>210781</v>
      </c>
      <c r="C58" t="s">
        <v>703</v>
      </c>
    </row>
    <row r="59" spans="1:3" x14ac:dyDescent="0.25">
      <c r="A59" t="s">
        <v>509</v>
      </c>
      <c r="B59" s="11">
        <v>255424</v>
      </c>
      <c r="C59" t="s">
        <v>704</v>
      </c>
    </row>
    <row r="60" spans="1:3" x14ac:dyDescent="0.25">
      <c r="A60" t="s">
        <v>74</v>
      </c>
      <c r="B60" s="11">
        <v>213195</v>
      </c>
      <c r="C60" t="s">
        <v>705</v>
      </c>
    </row>
    <row r="61" spans="1:3" x14ac:dyDescent="0.25">
      <c r="A61" t="s">
        <v>75</v>
      </c>
      <c r="B61" s="11">
        <v>262552</v>
      </c>
      <c r="C61" t="s">
        <v>705</v>
      </c>
    </row>
    <row r="62" spans="1:3" x14ac:dyDescent="0.25">
      <c r="A62" t="s">
        <v>510</v>
      </c>
      <c r="B62" s="11">
        <v>287504</v>
      </c>
      <c r="C62" t="s">
        <v>704</v>
      </c>
    </row>
    <row r="63" spans="1:3" x14ac:dyDescent="0.25">
      <c r="A63" t="s">
        <v>511</v>
      </c>
      <c r="B63" s="11">
        <v>265586</v>
      </c>
      <c r="C63" t="s">
        <v>704</v>
      </c>
    </row>
    <row r="64" spans="1:3" x14ac:dyDescent="0.25">
      <c r="A64" t="s">
        <v>76</v>
      </c>
      <c r="B64">
        <v>608459</v>
      </c>
      <c r="C64" t="s">
        <v>705</v>
      </c>
    </row>
    <row r="65" spans="1:3" x14ac:dyDescent="0.25">
      <c r="A65" t="s">
        <v>512</v>
      </c>
      <c r="B65">
        <v>236950</v>
      </c>
      <c r="C65" t="s">
        <v>703</v>
      </c>
    </row>
    <row r="66" spans="1:3" x14ac:dyDescent="0.25">
      <c r="A66" t="s">
        <v>513</v>
      </c>
      <c r="B66" s="11"/>
      <c r="C66" t="s">
        <v>703</v>
      </c>
    </row>
    <row r="67" spans="1:3" x14ac:dyDescent="0.25">
      <c r="A67" t="s">
        <v>514</v>
      </c>
      <c r="B67" s="11">
        <v>206474</v>
      </c>
      <c r="C67" t="s">
        <v>704</v>
      </c>
    </row>
    <row r="68" spans="1:3" x14ac:dyDescent="0.25">
      <c r="A68" t="s">
        <v>26</v>
      </c>
      <c r="B68" s="11">
        <v>203726</v>
      </c>
      <c r="C68" t="s">
        <v>704</v>
      </c>
    </row>
    <row r="69" spans="1:3" x14ac:dyDescent="0.25">
      <c r="A69" t="s">
        <v>515</v>
      </c>
      <c r="B69" s="11">
        <v>210820</v>
      </c>
      <c r="C69" t="s">
        <v>704</v>
      </c>
    </row>
    <row r="70" spans="1:3" x14ac:dyDescent="0.25">
      <c r="A70" t="s">
        <v>77</v>
      </c>
      <c r="B70" s="11">
        <v>205761</v>
      </c>
      <c r="C70" t="s">
        <v>705</v>
      </c>
    </row>
    <row r="71" spans="1:3" x14ac:dyDescent="0.25">
      <c r="A71" t="s">
        <v>516</v>
      </c>
      <c r="B71" s="11">
        <v>210846</v>
      </c>
      <c r="C71" t="s">
        <v>703</v>
      </c>
    </row>
    <row r="72" spans="1:3" x14ac:dyDescent="0.25">
      <c r="A72" t="s">
        <v>517</v>
      </c>
      <c r="B72" s="11">
        <v>262617</v>
      </c>
      <c r="C72" t="s">
        <v>703</v>
      </c>
    </row>
    <row r="73" spans="1:3" x14ac:dyDescent="0.25">
      <c r="A73" t="s">
        <v>384</v>
      </c>
      <c r="B73" s="11">
        <v>213608</v>
      </c>
      <c r="C73" t="s">
        <v>705</v>
      </c>
    </row>
    <row r="74" spans="1:3" x14ac:dyDescent="0.25">
      <c r="A74" t="s">
        <v>518</v>
      </c>
      <c r="B74" s="11">
        <v>270873</v>
      </c>
      <c r="C74" t="s">
        <v>703</v>
      </c>
    </row>
    <row r="75" spans="1:3" x14ac:dyDescent="0.25">
      <c r="A75" t="s">
        <v>519</v>
      </c>
      <c r="B75" s="11">
        <v>4619455</v>
      </c>
      <c r="C75" t="s">
        <v>704</v>
      </c>
    </row>
    <row r="76" spans="1:3" x14ac:dyDescent="0.25">
      <c r="A76" t="s">
        <v>722</v>
      </c>
      <c r="B76" s="11">
        <v>1055585</v>
      </c>
      <c r="C76" t="s">
        <v>704</v>
      </c>
    </row>
    <row r="77" spans="1:3" x14ac:dyDescent="0.25">
      <c r="A77" t="s">
        <v>520</v>
      </c>
      <c r="B77" s="11"/>
      <c r="C77" t="s">
        <v>703</v>
      </c>
    </row>
    <row r="78" spans="1:3" x14ac:dyDescent="0.25">
      <c r="A78" t="s">
        <v>521</v>
      </c>
      <c r="B78" s="11">
        <v>1024779</v>
      </c>
      <c r="C78" t="s">
        <v>703</v>
      </c>
    </row>
    <row r="79" spans="1:3" x14ac:dyDescent="0.25">
      <c r="A79" t="s">
        <v>27</v>
      </c>
      <c r="B79" s="11">
        <v>209414</v>
      </c>
      <c r="C79" t="s">
        <v>704</v>
      </c>
    </row>
    <row r="80" spans="1:3" x14ac:dyDescent="0.25">
      <c r="A80" t="s">
        <v>522</v>
      </c>
      <c r="B80" s="11">
        <v>277452</v>
      </c>
      <c r="C80" t="s">
        <v>704</v>
      </c>
    </row>
    <row r="81" spans="1:3" x14ac:dyDescent="0.25">
      <c r="A81" t="s">
        <v>348</v>
      </c>
      <c r="B81" s="11">
        <v>205494</v>
      </c>
      <c r="C81" t="s">
        <v>704</v>
      </c>
    </row>
    <row r="82" spans="1:3" x14ac:dyDescent="0.25">
      <c r="A82" t="s">
        <v>523</v>
      </c>
      <c r="B82" s="11">
        <v>201898</v>
      </c>
      <c r="C82" t="s">
        <v>703</v>
      </c>
    </row>
    <row r="83" spans="1:3" x14ac:dyDescent="0.25">
      <c r="A83" t="s">
        <v>78</v>
      </c>
      <c r="B83">
        <v>229938</v>
      </c>
      <c r="C83" t="s">
        <v>705</v>
      </c>
    </row>
    <row r="84" spans="1:3" x14ac:dyDescent="0.25">
      <c r="A84" t="s">
        <v>524</v>
      </c>
      <c r="B84" s="11">
        <v>261432</v>
      </c>
      <c r="C84" t="s">
        <v>704</v>
      </c>
    </row>
    <row r="85" spans="1:3" x14ac:dyDescent="0.25">
      <c r="A85" t="s">
        <v>737</v>
      </c>
      <c r="B85" s="11">
        <v>291099</v>
      </c>
      <c r="C85" t="s">
        <v>705</v>
      </c>
    </row>
    <row r="86" spans="1:3" x14ac:dyDescent="0.25">
      <c r="A86" t="s">
        <v>315</v>
      </c>
      <c r="B86" s="11">
        <v>213950</v>
      </c>
      <c r="C86" t="s">
        <v>705</v>
      </c>
    </row>
    <row r="87" spans="1:3" x14ac:dyDescent="0.25">
      <c r="A87" t="s">
        <v>336</v>
      </c>
      <c r="B87" s="11">
        <v>244619</v>
      </c>
      <c r="C87" t="s">
        <v>704</v>
      </c>
    </row>
    <row r="88" spans="1:3" x14ac:dyDescent="0.25">
      <c r="A88" t="s">
        <v>471</v>
      </c>
      <c r="B88" s="11">
        <v>243710</v>
      </c>
      <c r="C88" t="s">
        <v>705</v>
      </c>
    </row>
    <row r="89" spans="1:3" x14ac:dyDescent="0.25">
      <c r="A89" s="11" t="s">
        <v>461</v>
      </c>
      <c r="B89" s="11">
        <v>214000</v>
      </c>
      <c r="C89" t="s">
        <v>705</v>
      </c>
    </row>
    <row r="90" spans="1:3" x14ac:dyDescent="0.25">
      <c r="A90" t="s">
        <v>79</v>
      </c>
      <c r="B90">
        <v>214051</v>
      </c>
      <c r="C90" t="s">
        <v>705</v>
      </c>
    </row>
    <row r="91" spans="1:3" x14ac:dyDescent="0.25">
      <c r="A91" t="s">
        <v>525</v>
      </c>
      <c r="B91" s="11">
        <v>226165</v>
      </c>
      <c r="C91" t="s">
        <v>704</v>
      </c>
    </row>
    <row r="92" spans="1:3" x14ac:dyDescent="0.25">
      <c r="A92" t="s">
        <v>526</v>
      </c>
      <c r="B92" s="11">
        <v>260886</v>
      </c>
      <c r="C92" t="s">
        <v>704</v>
      </c>
    </row>
    <row r="93" spans="1:3" x14ac:dyDescent="0.25">
      <c r="A93" t="s">
        <v>527</v>
      </c>
      <c r="B93" s="11"/>
      <c r="C93" t="s">
        <v>703</v>
      </c>
    </row>
    <row r="94" spans="1:3" x14ac:dyDescent="0.25">
      <c r="A94" t="s">
        <v>80</v>
      </c>
      <c r="B94">
        <v>226190</v>
      </c>
      <c r="C94" t="s">
        <v>705</v>
      </c>
    </row>
    <row r="95" spans="1:3" x14ac:dyDescent="0.25">
      <c r="A95" t="s">
        <v>723</v>
      </c>
      <c r="B95" s="11">
        <v>262749</v>
      </c>
      <c r="C95" t="s">
        <v>705</v>
      </c>
    </row>
    <row r="96" spans="1:3" x14ac:dyDescent="0.25">
      <c r="A96" t="s">
        <v>318</v>
      </c>
      <c r="B96">
        <v>4659562</v>
      </c>
      <c r="C96" t="s">
        <v>704</v>
      </c>
    </row>
    <row r="97" spans="1:3" x14ac:dyDescent="0.25">
      <c r="A97" t="s">
        <v>81</v>
      </c>
      <c r="B97" s="12">
        <v>214302</v>
      </c>
      <c r="C97" t="s">
        <v>705</v>
      </c>
    </row>
    <row r="98" spans="1:3" x14ac:dyDescent="0.25">
      <c r="A98" t="s">
        <v>28</v>
      </c>
      <c r="B98" s="11">
        <v>214345</v>
      </c>
      <c r="C98" t="s">
        <v>705</v>
      </c>
    </row>
    <row r="99" spans="1:3" s="11" customFormat="1" x14ac:dyDescent="0.25">
      <c r="A99" t="s">
        <v>82</v>
      </c>
      <c r="B99" s="11">
        <v>214353</v>
      </c>
      <c r="C99" t="s">
        <v>705</v>
      </c>
    </row>
    <row r="100" spans="1:3" x14ac:dyDescent="0.25">
      <c r="A100" s="11" t="s">
        <v>83</v>
      </c>
      <c r="B100" s="11">
        <v>209406</v>
      </c>
      <c r="C100" s="11" t="s">
        <v>705</v>
      </c>
    </row>
    <row r="101" spans="1:3" x14ac:dyDescent="0.25">
      <c r="A101" t="s">
        <v>528</v>
      </c>
      <c r="B101" s="11">
        <v>298131</v>
      </c>
      <c r="C101" t="s">
        <v>703</v>
      </c>
    </row>
    <row r="102" spans="1:3" x14ac:dyDescent="0.25">
      <c r="A102" t="s">
        <v>706</v>
      </c>
      <c r="B102" s="11">
        <v>294349</v>
      </c>
      <c r="C102" t="s">
        <v>703</v>
      </c>
    </row>
    <row r="103" spans="1:3" x14ac:dyDescent="0.25">
      <c r="A103" t="s">
        <v>472</v>
      </c>
      <c r="B103" s="11">
        <v>233510</v>
      </c>
      <c r="C103" t="s">
        <v>704</v>
      </c>
    </row>
    <row r="104" spans="1:3" x14ac:dyDescent="0.25">
      <c r="A104" t="s">
        <v>529</v>
      </c>
      <c r="B104" s="11">
        <v>249963</v>
      </c>
      <c r="C104" t="s">
        <v>704</v>
      </c>
    </row>
    <row r="105" spans="1:3" x14ac:dyDescent="0.25">
      <c r="A105" t="s">
        <v>530</v>
      </c>
      <c r="B105" s="11"/>
      <c r="C105" t="s">
        <v>703</v>
      </c>
    </row>
    <row r="106" spans="1:3" x14ac:dyDescent="0.25">
      <c r="A106" t="s">
        <v>462</v>
      </c>
      <c r="B106" s="11">
        <v>273171</v>
      </c>
      <c r="C106" t="s">
        <v>705</v>
      </c>
    </row>
    <row r="107" spans="1:3" x14ac:dyDescent="0.25">
      <c r="A107" t="s">
        <v>84</v>
      </c>
      <c r="B107" s="11">
        <v>224960</v>
      </c>
      <c r="C107" t="s">
        <v>705</v>
      </c>
    </row>
    <row r="108" spans="1:3" x14ac:dyDescent="0.25">
      <c r="A108" t="s">
        <v>531</v>
      </c>
      <c r="B108" s="11">
        <v>206792</v>
      </c>
      <c r="C108" t="s">
        <v>703</v>
      </c>
    </row>
    <row r="109" spans="1:3" x14ac:dyDescent="0.25">
      <c r="A109" t="s">
        <v>85</v>
      </c>
      <c r="B109" s="11">
        <v>230502</v>
      </c>
      <c r="C109" t="s">
        <v>705</v>
      </c>
    </row>
    <row r="110" spans="1:3" x14ac:dyDescent="0.25">
      <c r="A110" t="s">
        <v>86</v>
      </c>
      <c r="B110" s="11">
        <v>214728</v>
      </c>
      <c r="C110" t="s">
        <v>705</v>
      </c>
    </row>
    <row r="111" spans="1:3" x14ac:dyDescent="0.25">
      <c r="A111" t="s">
        <v>87</v>
      </c>
      <c r="B111" s="11">
        <v>206440</v>
      </c>
      <c r="C111" t="s">
        <v>705</v>
      </c>
    </row>
    <row r="112" spans="1:3" x14ac:dyDescent="0.25">
      <c r="A112" t="s">
        <v>88</v>
      </c>
      <c r="B112" s="11">
        <v>210161</v>
      </c>
      <c r="C112" t="s">
        <v>705</v>
      </c>
    </row>
    <row r="113" spans="1:3" x14ac:dyDescent="0.25">
      <c r="A113" t="s">
        <v>333</v>
      </c>
      <c r="B113" s="11">
        <v>241113</v>
      </c>
      <c r="C113" t="s">
        <v>705</v>
      </c>
    </row>
    <row r="114" spans="1:3" x14ac:dyDescent="0.25">
      <c r="A114" t="s">
        <v>322</v>
      </c>
      <c r="B114" s="11">
        <v>226343</v>
      </c>
      <c r="C114" t="s">
        <v>704</v>
      </c>
    </row>
    <row r="115" spans="1:3" x14ac:dyDescent="0.25">
      <c r="A115" t="s">
        <v>350</v>
      </c>
      <c r="B115" s="11">
        <v>214787</v>
      </c>
      <c r="C115" t="s">
        <v>704</v>
      </c>
    </row>
    <row r="116" spans="1:3" x14ac:dyDescent="0.25">
      <c r="A116" t="s">
        <v>456</v>
      </c>
      <c r="B116" s="11">
        <v>203475</v>
      </c>
      <c r="C116" t="s">
        <v>705</v>
      </c>
    </row>
    <row r="117" spans="1:3" x14ac:dyDescent="0.25">
      <c r="A117" t="s">
        <v>89</v>
      </c>
      <c r="B117">
        <v>214795</v>
      </c>
      <c r="C117" t="s">
        <v>705</v>
      </c>
    </row>
    <row r="118" spans="1:3" x14ac:dyDescent="0.25">
      <c r="A118" t="s">
        <v>532</v>
      </c>
      <c r="B118" s="11">
        <v>214850</v>
      </c>
      <c r="C118" t="s">
        <v>704</v>
      </c>
    </row>
    <row r="119" spans="1:3" x14ac:dyDescent="0.25">
      <c r="A119" t="s">
        <v>90</v>
      </c>
      <c r="B119" s="11">
        <v>214892</v>
      </c>
      <c r="C119" t="s">
        <v>705</v>
      </c>
    </row>
    <row r="120" spans="1:3" x14ac:dyDescent="0.25">
      <c r="A120" t="s">
        <v>739</v>
      </c>
      <c r="B120" s="11">
        <v>249289</v>
      </c>
      <c r="C120" t="s">
        <v>705</v>
      </c>
    </row>
    <row r="121" spans="1:3" x14ac:dyDescent="0.25">
      <c r="A121" t="s">
        <v>533</v>
      </c>
      <c r="B121" s="11">
        <v>262714</v>
      </c>
      <c r="C121" t="s">
        <v>703</v>
      </c>
    </row>
    <row r="122" spans="1:3" x14ac:dyDescent="0.25">
      <c r="A122" s="11" t="s">
        <v>91</v>
      </c>
      <c r="B122" s="11">
        <v>262730</v>
      </c>
      <c r="C122" t="s">
        <v>705</v>
      </c>
    </row>
    <row r="123" spans="1:3" x14ac:dyDescent="0.25">
      <c r="A123" t="s">
        <v>473</v>
      </c>
      <c r="B123" s="11">
        <v>204528</v>
      </c>
      <c r="C123" t="s">
        <v>705</v>
      </c>
    </row>
    <row r="124" spans="1:3" x14ac:dyDescent="0.25">
      <c r="A124" t="s">
        <v>534</v>
      </c>
      <c r="B124" s="11"/>
      <c r="C124" t="s">
        <v>703</v>
      </c>
    </row>
    <row r="125" spans="1:3" x14ac:dyDescent="0.25">
      <c r="A125" s="11" t="s">
        <v>535</v>
      </c>
      <c r="B125" s="11"/>
      <c r="C125" t="s">
        <v>703</v>
      </c>
    </row>
    <row r="126" spans="1:3" x14ac:dyDescent="0.25">
      <c r="A126" t="s">
        <v>29</v>
      </c>
      <c r="B126" s="11">
        <v>201308</v>
      </c>
      <c r="C126" t="s">
        <v>705</v>
      </c>
    </row>
    <row r="127" spans="1:3" x14ac:dyDescent="0.25">
      <c r="A127" s="11" t="s">
        <v>92</v>
      </c>
      <c r="B127" s="11">
        <v>201928</v>
      </c>
      <c r="C127" t="s">
        <v>705</v>
      </c>
    </row>
    <row r="128" spans="1:3" x14ac:dyDescent="0.25">
      <c r="A128" t="s">
        <v>536</v>
      </c>
      <c r="B128" s="11">
        <v>36068829</v>
      </c>
      <c r="C128" t="s">
        <v>704</v>
      </c>
    </row>
    <row r="129" spans="1:3" x14ac:dyDescent="0.25">
      <c r="A129" t="s">
        <v>93</v>
      </c>
      <c r="B129" s="11">
        <v>215180</v>
      </c>
      <c r="C129" t="s">
        <v>705</v>
      </c>
    </row>
    <row r="130" spans="1:3" x14ac:dyDescent="0.25">
      <c r="A130" t="s">
        <v>537</v>
      </c>
      <c r="B130">
        <v>275751</v>
      </c>
      <c r="C130" t="s">
        <v>704</v>
      </c>
    </row>
    <row r="131" spans="1:3" x14ac:dyDescent="0.25">
      <c r="A131" t="s">
        <v>538</v>
      </c>
      <c r="B131" s="11"/>
      <c r="C131" t="s">
        <v>703</v>
      </c>
    </row>
    <row r="132" spans="1:3" x14ac:dyDescent="0.25">
      <c r="A132" t="s">
        <v>459</v>
      </c>
      <c r="B132" s="11">
        <v>230596</v>
      </c>
      <c r="C132" t="s">
        <v>705</v>
      </c>
    </row>
    <row r="133" spans="1:3" x14ac:dyDescent="0.25">
      <c r="A133" t="s">
        <v>351</v>
      </c>
      <c r="B133">
        <v>200115</v>
      </c>
      <c r="C133" t="s">
        <v>704</v>
      </c>
    </row>
    <row r="134" spans="1:3" x14ac:dyDescent="0.25">
      <c r="A134" t="s">
        <v>349</v>
      </c>
      <c r="B134" s="11">
        <v>260193</v>
      </c>
      <c r="C134" t="s">
        <v>704</v>
      </c>
    </row>
    <row r="135" spans="1:3" x14ac:dyDescent="0.25">
      <c r="A135" t="s">
        <v>730</v>
      </c>
      <c r="B135" s="11">
        <v>224928</v>
      </c>
      <c r="C135" t="s">
        <v>705</v>
      </c>
    </row>
    <row r="136" spans="1:3" x14ac:dyDescent="0.25">
      <c r="A136" t="s">
        <v>731</v>
      </c>
      <c r="B136" s="11">
        <v>548000477</v>
      </c>
      <c r="C136" t="s">
        <v>704</v>
      </c>
    </row>
    <row r="137" spans="1:3" x14ac:dyDescent="0.25">
      <c r="A137" s="11" t="s">
        <v>94</v>
      </c>
      <c r="B137" s="11">
        <v>215376</v>
      </c>
      <c r="C137" t="s">
        <v>704</v>
      </c>
    </row>
    <row r="138" spans="1:3" x14ac:dyDescent="0.25">
      <c r="A138" t="s">
        <v>95</v>
      </c>
      <c r="B138" s="11">
        <v>201146</v>
      </c>
      <c r="C138" t="s">
        <v>705</v>
      </c>
    </row>
    <row r="139" spans="1:3" x14ac:dyDescent="0.25">
      <c r="A139" t="s">
        <v>96</v>
      </c>
      <c r="B139" s="11">
        <v>215481</v>
      </c>
      <c r="C139" t="s">
        <v>705</v>
      </c>
    </row>
    <row r="140" spans="1:3" x14ac:dyDescent="0.25">
      <c r="A140" t="s">
        <v>330</v>
      </c>
      <c r="B140" s="11">
        <v>243213</v>
      </c>
      <c r="C140" t="s">
        <v>704</v>
      </c>
    </row>
    <row r="141" spans="1:3" x14ac:dyDescent="0.25">
      <c r="A141" t="s">
        <v>539</v>
      </c>
      <c r="B141" s="11">
        <v>24621013</v>
      </c>
      <c r="C141" t="s">
        <v>704</v>
      </c>
    </row>
    <row r="142" spans="1:3" x14ac:dyDescent="0.25">
      <c r="A142" t="s">
        <v>540</v>
      </c>
      <c r="B142" s="11">
        <v>203440</v>
      </c>
      <c r="C142" t="s">
        <v>703</v>
      </c>
    </row>
    <row r="143" spans="1:3" x14ac:dyDescent="0.25">
      <c r="A143" t="s">
        <v>541</v>
      </c>
      <c r="B143" s="11">
        <v>254460</v>
      </c>
      <c r="C143" t="s">
        <v>704</v>
      </c>
    </row>
    <row r="144" spans="1:3" x14ac:dyDescent="0.25">
      <c r="A144" t="s">
        <v>363</v>
      </c>
      <c r="B144" s="11">
        <v>200670</v>
      </c>
      <c r="C144" t="s">
        <v>704</v>
      </c>
    </row>
    <row r="145" spans="1:3" x14ac:dyDescent="0.25">
      <c r="A145" t="s">
        <v>97</v>
      </c>
      <c r="B145" s="11">
        <v>215619</v>
      </c>
      <c r="C145" t="s">
        <v>705</v>
      </c>
    </row>
    <row r="146" spans="1:3" x14ac:dyDescent="0.25">
      <c r="A146" t="s">
        <v>542</v>
      </c>
      <c r="B146" s="11">
        <v>215678</v>
      </c>
      <c r="C146" t="s">
        <v>703</v>
      </c>
    </row>
    <row r="147" spans="1:3" x14ac:dyDescent="0.25">
      <c r="A147" t="s">
        <v>364</v>
      </c>
      <c r="B147" s="11">
        <v>233250</v>
      </c>
      <c r="C147" t="s">
        <v>705</v>
      </c>
    </row>
    <row r="148" spans="1:3" x14ac:dyDescent="0.25">
      <c r="A148" t="s">
        <v>455</v>
      </c>
      <c r="B148">
        <v>209333</v>
      </c>
      <c r="C148" t="s">
        <v>705</v>
      </c>
    </row>
    <row r="149" spans="1:3" x14ac:dyDescent="0.25">
      <c r="A149" t="s">
        <v>543</v>
      </c>
      <c r="B149" s="11">
        <v>249122</v>
      </c>
      <c r="C149" t="s">
        <v>703</v>
      </c>
    </row>
    <row r="150" spans="1:3" x14ac:dyDescent="0.25">
      <c r="A150" t="s">
        <v>365</v>
      </c>
      <c r="B150" s="11">
        <v>260924</v>
      </c>
      <c r="C150" t="s">
        <v>705</v>
      </c>
    </row>
    <row r="151" spans="1:3" x14ac:dyDescent="0.25">
      <c r="A151" t="s">
        <v>324</v>
      </c>
      <c r="B151" s="11">
        <v>209880</v>
      </c>
      <c r="C151" t="s">
        <v>704</v>
      </c>
    </row>
    <row r="152" spans="1:3" x14ac:dyDescent="0.25">
      <c r="A152" t="s">
        <v>98</v>
      </c>
      <c r="B152" s="11">
        <v>200824</v>
      </c>
      <c r="C152" t="s">
        <v>704</v>
      </c>
    </row>
    <row r="153" spans="1:3" x14ac:dyDescent="0.25">
      <c r="A153" t="s">
        <v>544</v>
      </c>
      <c r="B153" s="11">
        <v>204021</v>
      </c>
      <c r="C153" t="s">
        <v>703</v>
      </c>
    </row>
    <row r="154" spans="1:3" x14ac:dyDescent="0.25">
      <c r="A154" t="s">
        <v>720</v>
      </c>
      <c r="B154" s="11">
        <v>293172</v>
      </c>
      <c r="C154" t="s">
        <v>703</v>
      </c>
    </row>
    <row r="155" spans="1:3" x14ac:dyDescent="0.25">
      <c r="A155" s="11" t="s">
        <v>545</v>
      </c>
      <c r="B155" s="11"/>
      <c r="C155" t="s">
        <v>703</v>
      </c>
    </row>
    <row r="156" spans="1:3" x14ac:dyDescent="0.25">
      <c r="A156" t="s">
        <v>546</v>
      </c>
      <c r="B156" s="11">
        <v>205370</v>
      </c>
      <c r="C156" t="s">
        <v>703</v>
      </c>
    </row>
    <row r="157" spans="1:3" x14ac:dyDescent="0.25">
      <c r="A157" t="s">
        <v>352</v>
      </c>
      <c r="B157" s="11">
        <v>243019</v>
      </c>
      <c r="C157" t="s">
        <v>704</v>
      </c>
    </row>
    <row r="158" spans="1:3" x14ac:dyDescent="0.25">
      <c r="A158" t="s">
        <v>388</v>
      </c>
      <c r="B158" s="11">
        <v>232769</v>
      </c>
      <c r="C158" t="s">
        <v>703</v>
      </c>
    </row>
    <row r="159" spans="1:3" x14ac:dyDescent="0.25">
      <c r="A159" t="s">
        <v>329</v>
      </c>
      <c r="B159" s="11">
        <v>230693</v>
      </c>
      <c r="C159" t="s">
        <v>705</v>
      </c>
    </row>
    <row r="160" spans="1:3" x14ac:dyDescent="0.25">
      <c r="A160" t="s">
        <v>328</v>
      </c>
      <c r="B160" s="11">
        <v>205389</v>
      </c>
      <c r="C160" t="s">
        <v>704</v>
      </c>
    </row>
    <row r="161" spans="1:3" x14ac:dyDescent="0.25">
      <c r="A161" t="s">
        <v>99</v>
      </c>
      <c r="B161" s="11">
        <v>240583</v>
      </c>
      <c r="C161" t="s">
        <v>704</v>
      </c>
    </row>
    <row r="162" spans="1:3" x14ac:dyDescent="0.25">
      <c r="A162" t="s">
        <v>100</v>
      </c>
      <c r="B162" s="11">
        <v>215970</v>
      </c>
      <c r="C162" t="s">
        <v>705</v>
      </c>
    </row>
    <row r="163" spans="1:3" x14ac:dyDescent="0.25">
      <c r="A163" t="s">
        <v>547</v>
      </c>
      <c r="B163" s="11">
        <v>274348</v>
      </c>
      <c r="C163" t="s">
        <v>703</v>
      </c>
    </row>
    <row r="164" spans="1:3" x14ac:dyDescent="0.25">
      <c r="A164" t="s">
        <v>548</v>
      </c>
      <c r="B164" s="11"/>
      <c r="C164" t="s">
        <v>703</v>
      </c>
    </row>
    <row r="165" spans="1:3" x14ac:dyDescent="0.25">
      <c r="A165" t="s">
        <v>101</v>
      </c>
      <c r="B165" s="11">
        <v>206580</v>
      </c>
      <c r="C165" t="s">
        <v>705</v>
      </c>
    </row>
    <row r="166" spans="1:3" x14ac:dyDescent="0.25">
      <c r="A166" t="s">
        <v>549</v>
      </c>
      <c r="B166" s="11"/>
      <c r="C166" t="s">
        <v>703</v>
      </c>
    </row>
    <row r="167" spans="1:3" x14ac:dyDescent="0.25">
      <c r="A167" t="s">
        <v>550</v>
      </c>
      <c r="B167" s="11"/>
      <c r="C167" t="s">
        <v>703</v>
      </c>
    </row>
    <row r="168" spans="1:3" x14ac:dyDescent="0.25">
      <c r="A168" t="s">
        <v>551</v>
      </c>
      <c r="B168" s="11"/>
      <c r="C168" t="s">
        <v>703</v>
      </c>
    </row>
    <row r="169" spans="1:3" x14ac:dyDescent="0.25">
      <c r="A169" t="s">
        <v>735</v>
      </c>
      <c r="B169" s="11">
        <v>216216</v>
      </c>
      <c r="C169" t="s">
        <v>705</v>
      </c>
    </row>
    <row r="170" spans="1:3" x14ac:dyDescent="0.25">
      <c r="A170" t="s">
        <v>552</v>
      </c>
      <c r="B170" s="11">
        <v>211044</v>
      </c>
      <c r="C170" t="s">
        <v>704</v>
      </c>
    </row>
    <row r="171" spans="1:3" x14ac:dyDescent="0.25">
      <c r="A171" t="s">
        <v>353</v>
      </c>
      <c r="B171" s="11">
        <v>262846</v>
      </c>
      <c r="C171" t="s">
        <v>704</v>
      </c>
    </row>
    <row r="172" spans="1:3" x14ac:dyDescent="0.25">
      <c r="A172" t="s">
        <v>553</v>
      </c>
      <c r="B172" s="11">
        <v>405469</v>
      </c>
      <c r="C172" t="s">
        <v>704</v>
      </c>
    </row>
    <row r="173" spans="1:3" x14ac:dyDescent="0.25">
      <c r="A173" t="s">
        <v>716</v>
      </c>
      <c r="B173" s="11">
        <v>36045900</v>
      </c>
      <c r="C173" t="s">
        <v>704</v>
      </c>
    </row>
    <row r="174" spans="1:3" x14ac:dyDescent="0.25">
      <c r="A174" t="s">
        <v>554</v>
      </c>
      <c r="B174" s="11">
        <v>12973114</v>
      </c>
      <c r="C174" t="s">
        <v>704</v>
      </c>
    </row>
    <row r="175" spans="1:3" x14ac:dyDescent="0.25">
      <c r="A175" t="s">
        <v>452</v>
      </c>
      <c r="B175" s="11">
        <v>200689</v>
      </c>
      <c r="C175" t="s">
        <v>705</v>
      </c>
    </row>
    <row r="176" spans="1:3" x14ac:dyDescent="0.25">
      <c r="A176" t="s">
        <v>555</v>
      </c>
      <c r="B176" s="11">
        <v>1061550</v>
      </c>
      <c r="C176" t="s">
        <v>704</v>
      </c>
    </row>
    <row r="177" spans="1:3" x14ac:dyDescent="0.25">
      <c r="A177" t="s">
        <v>556</v>
      </c>
      <c r="B177" s="11"/>
      <c r="C177" t="s">
        <v>703</v>
      </c>
    </row>
    <row r="178" spans="1:3" x14ac:dyDescent="0.25">
      <c r="A178" t="s">
        <v>557</v>
      </c>
      <c r="B178" s="11">
        <v>26091704</v>
      </c>
      <c r="C178" t="s">
        <v>704</v>
      </c>
    </row>
    <row r="179" spans="1:3" x14ac:dyDescent="0.25">
      <c r="A179" t="s">
        <v>460</v>
      </c>
      <c r="B179" s="11">
        <v>938599</v>
      </c>
      <c r="C179" t="s">
        <v>705</v>
      </c>
    </row>
    <row r="180" spans="1:3" x14ac:dyDescent="0.25">
      <c r="A180" t="s">
        <v>558</v>
      </c>
      <c r="B180" s="11">
        <v>230820</v>
      </c>
      <c r="C180" t="s">
        <v>704</v>
      </c>
    </row>
    <row r="181" spans="1:3" x14ac:dyDescent="0.25">
      <c r="A181" t="s">
        <v>559</v>
      </c>
      <c r="B181" s="11"/>
      <c r="C181" t="s">
        <v>703</v>
      </c>
    </row>
    <row r="182" spans="1:3" x14ac:dyDescent="0.25">
      <c r="A182" t="s">
        <v>560</v>
      </c>
      <c r="B182" s="11">
        <v>835765</v>
      </c>
      <c r="C182" t="s">
        <v>704</v>
      </c>
    </row>
    <row r="183" spans="1:3" x14ac:dyDescent="0.25">
      <c r="A183" t="s">
        <v>561</v>
      </c>
      <c r="B183" s="11"/>
      <c r="C183" t="s">
        <v>703</v>
      </c>
    </row>
    <row r="184" spans="1:3" x14ac:dyDescent="0.25">
      <c r="A184" t="s">
        <v>562</v>
      </c>
      <c r="B184" s="11">
        <v>256161</v>
      </c>
      <c r="C184" t="s">
        <v>704</v>
      </c>
    </row>
    <row r="185" spans="1:3" x14ac:dyDescent="0.25">
      <c r="A185" t="s">
        <v>563</v>
      </c>
      <c r="B185">
        <v>216593</v>
      </c>
      <c r="C185" t="s">
        <v>703</v>
      </c>
    </row>
    <row r="186" spans="1:3" x14ac:dyDescent="0.25">
      <c r="A186" t="s">
        <v>102</v>
      </c>
      <c r="B186" s="11">
        <v>209589</v>
      </c>
      <c r="C186" t="s">
        <v>705</v>
      </c>
    </row>
    <row r="187" spans="1:3" x14ac:dyDescent="0.25">
      <c r="A187" s="11" t="s">
        <v>103</v>
      </c>
      <c r="B187" s="11">
        <v>262935</v>
      </c>
      <c r="C187" t="s">
        <v>705</v>
      </c>
    </row>
    <row r="188" spans="1:3" x14ac:dyDescent="0.25">
      <c r="A188" s="11" t="s">
        <v>727</v>
      </c>
      <c r="B188" s="11">
        <v>206385</v>
      </c>
      <c r="C188" t="s">
        <v>704</v>
      </c>
    </row>
    <row r="189" spans="1:3" x14ac:dyDescent="0.25">
      <c r="A189" t="s">
        <v>33</v>
      </c>
      <c r="B189" s="11">
        <v>205320</v>
      </c>
      <c r="C189" t="s">
        <v>704</v>
      </c>
    </row>
    <row r="190" spans="1:3" x14ac:dyDescent="0.25">
      <c r="A190" t="s">
        <v>564</v>
      </c>
      <c r="B190" s="11">
        <v>204285</v>
      </c>
      <c r="C190" t="s">
        <v>703</v>
      </c>
    </row>
    <row r="191" spans="1:3" x14ac:dyDescent="0.25">
      <c r="A191" t="s">
        <v>565</v>
      </c>
      <c r="B191" s="11">
        <v>4100484</v>
      </c>
      <c r="C191" t="s">
        <v>704</v>
      </c>
    </row>
    <row r="192" spans="1:3" x14ac:dyDescent="0.25">
      <c r="A192" t="s">
        <v>721</v>
      </c>
      <c r="B192" s="11">
        <v>1043340</v>
      </c>
      <c r="C192" t="s">
        <v>704</v>
      </c>
    </row>
    <row r="193" spans="1:3" x14ac:dyDescent="0.25">
      <c r="A193" t="s">
        <v>566</v>
      </c>
      <c r="B193" s="11">
        <v>236780</v>
      </c>
      <c r="C193" t="s">
        <v>704</v>
      </c>
    </row>
    <row r="194" spans="1:3" x14ac:dyDescent="0.25">
      <c r="A194" t="s">
        <v>104</v>
      </c>
      <c r="B194" s="11">
        <v>216682</v>
      </c>
      <c r="C194" t="s">
        <v>705</v>
      </c>
    </row>
    <row r="195" spans="1:3" x14ac:dyDescent="0.25">
      <c r="A195" t="s">
        <v>105</v>
      </c>
      <c r="B195" s="11">
        <v>226840</v>
      </c>
      <c r="C195" t="s">
        <v>705</v>
      </c>
    </row>
    <row r="196" spans="1:3" x14ac:dyDescent="0.25">
      <c r="A196" t="s">
        <v>474</v>
      </c>
      <c r="B196" s="11">
        <v>224707</v>
      </c>
      <c r="C196" t="s">
        <v>704</v>
      </c>
    </row>
    <row r="197" spans="1:3" x14ac:dyDescent="0.25">
      <c r="A197" t="s">
        <v>310</v>
      </c>
      <c r="B197" s="11">
        <v>216739</v>
      </c>
      <c r="C197" t="s">
        <v>704</v>
      </c>
    </row>
    <row r="198" spans="1:3" x14ac:dyDescent="0.25">
      <c r="A198" s="11" t="s">
        <v>567</v>
      </c>
      <c r="B198" s="11"/>
      <c r="C198" t="s">
        <v>703</v>
      </c>
    </row>
    <row r="199" spans="1:3" x14ac:dyDescent="0.25">
      <c r="A199" t="s">
        <v>106</v>
      </c>
      <c r="B199" s="11">
        <v>208051</v>
      </c>
      <c r="C199" t="s">
        <v>705</v>
      </c>
    </row>
    <row r="200" spans="1:3" x14ac:dyDescent="0.25">
      <c r="A200" t="s">
        <v>568</v>
      </c>
      <c r="B200" s="11">
        <v>216810</v>
      </c>
      <c r="C200" t="s">
        <v>703</v>
      </c>
    </row>
    <row r="201" spans="1:3" x14ac:dyDescent="0.25">
      <c r="A201" t="s">
        <v>107</v>
      </c>
      <c r="B201" s="11">
        <v>201804</v>
      </c>
      <c r="C201" t="s">
        <v>705</v>
      </c>
    </row>
    <row r="202" spans="1:3" x14ac:dyDescent="0.25">
      <c r="A202" s="11" t="s">
        <v>569</v>
      </c>
      <c r="B202" s="11"/>
      <c r="C202" t="s">
        <v>703</v>
      </c>
    </row>
    <row r="203" spans="1:3" x14ac:dyDescent="0.25">
      <c r="A203" t="s">
        <v>108</v>
      </c>
      <c r="B203" s="11">
        <v>208710</v>
      </c>
      <c r="C203" t="s">
        <v>705</v>
      </c>
    </row>
    <row r="204" spans="1:3" x14ac:dyDescent="0.25">
      <c r="A204" t="s">
        <v>109</v>
      </c>
      <c r="B204" s="11">
        <v>209317</v>
      </c>
      <c r="C204" t="s">
        <v>704</v>
      </c>
    </row>
    <row r="205" spans="1:3" x14ac:dyDescent="0.25">
      <c r="A205" t="s">
        <v>713</v>
      </c>
      <c r="B205" s="11">
        <v>216976</v>
      </c>
      <c r="C205" t="s">
        <v>704</v>
      </c>
    </row>
    <row r="206" spans="1:3" x14ac:dyDescent="0.25">
      <c r="A206" t="s">
        <v>331</v>
      </c>
      <c r="B206" s="11">
        <v>235474</v>
      </c>
      <c r="C206" t="s">
        <v>705</v>
      </c>
    </row>
    <row r="207" spans="1:3" x14ac:dyDescent="0.25">
      <c r="A207" t="s">
        <v>110</v>
      </c>
      <c r="B207" s="11">
        <v>217107</v>
      </c>
      <c r="C207" t="s">
        <v>705</v>
      </c>
    </row>
    <row r="208" spans="1:3" x14ac:dyDescent="0.25">
      <c r="A208" t="s">
        <v>111</v>
      </c>
      <c r="B208" s="11">
        <v>263028</v>
      </c>
      <c r="C208" t="s">
        <v>705</v>
      </c>
    </row>
    <row r="209" spans="1:3" x14ac:dyDescent="0.25">
      <c r="A209" s="11" t="s">
        <v>354</v>
      </c>
      <c r="B209" s="11">
        <v>232521</v>
      </c>
      <c r="C209" t="s">
        <v>704</v>
      </c>
    </row>
    <row r="210" spans="1:3" x14ac:dyDescent="0.25">
      <c r="A210" t="s">
        <v>366</v>
      </c>
      <c r="B210" s="11">
        <v>226980</v>
      </c>
      <c r="C210" t="s">
        <v>705</v>
      </c>
    </row>
    <row r="211" spans="1:3" x14ac:dyDescent="0.25">
      <c r="A211" t="s">
        <v>30</v>
      </c>
      <c r="B211" s="11">
        <v>224561</v>
      </c>
      <c r="C211" t="s">
        <v>704</v>
      </c>
    </row>
    <row r="212" spans="1:3" x14ac:dyDescent="0.25">
      <c r="A212" t="s">
        <v>570</v>
      </c>
      <c r="B212" s="11">
        <v>4681428</v>
      </c>
      <c r="C212" t="s">
        <v>704</v>
      </c>
    </row>
    <row r="213" spans="1:3" x14ac:dyDescent="0.25">
      <c r="A213" t="s">
        <v>571</v>
      </c>
      <c r="B213">
        <v>206148</v>
      </c>
      <c r="C213" t="s">
        <v>704</v>
      </c>
    </row>
    <row r="214" spans="1:3" x14ac:dyDescent="0.25">
      <c r="A214" t="s">
        <v>367</v>
      </c>
      <c r="B214" s="11">
        <v>236896</v>
      </c>
      <c r="C214" t="s">
        <v>705</v>
      </c>
    </row>
    <row r="215" spans="1:3" x14ac:dyDescent="0.25">
      <c r="A215" s="11" t="s">
        <v>112</v>
      </c>
      <c r="B215" s="11">
        <v>204110</v>
      </c>
      <c r="C215" t="s">
        <v>705</v>
      </c>
    </row>
    <row r="216" spans="1:3" x14ac:dyDescent="0.25">
      <c r="A216" t="s">
        <v>368</v>
      </c>
      <c r="B216">
        <v>266035</v>
      </c>
      <c r="C216" t="s">
        <v>705</v>
      </c>
    </row>
    <row r="217" spans="1:3" x14ac:dyDescent="0.25">
      <c r="A217" t="s">
        <v>572</v>
      </c>
      <c r="B217" s="11">
        <v>700118</v>
      </c>
      <c r="C217" t="s">
        <v>704</v>
      </c>
    </row>
    <row r="218" spans="1:3" x14ac:dyDescent="0.25">
      <c r="A218" t="s">
        <v>573</v>
      </c>
      <c r="B218" s="11">
        <v>700061</v>
      </c>
      <c r="C218" t="s">
        <v>704</v>
      </c>
    </row>
    <row r="219" spans="1:3" x14ac:dyDescent="0.25">
      <c r="A219" t="s">
        <v>113</v>
      </c>
      <c r="B219">
        <v>206881</v>
      </c>
      <c r="C219" t="s">
        <v>705</v>
      </c>
    </row>
    <row r="220" spans="1:3" x14ac:dyDescent="0.25">
      <c r="A220" t="s">
        <v>574</v>
      </c>
      <c r="B220" s="11">
        <v>1005839</v>
      </c>
      <c r="C220" t="s">
        <v>704</v>
      </c>
    </row>
    <row r="221" spans="1:3" x14ac:dyDescent="0.25">
      <c r="A221" t="s">
        <v>114</v>
      </c>
      <c r="B221" s="11">
        <v>200697</v>
      </c>
      <c r="C221" t="s">
        <v>705</v>
      </c>
    </row>
    <row r="222" spans="1:3" x14ac:dyDescent="0.25">
      <c r="A222" t="s">
        <v>326</v>
      </c>
      <c r="B222" s="11">
        <v>251496</v>
      </c>
      <c r="C222" t="s">
        <v>705</v>
      </c>
    </row>
    <row r="223" spans="1:3" x14ac:dyDescent="0.25">
      <c r="A223" t="s">
        <v>575</v>
      </c>
      <c r="B223" s="11">
        <v>7903545</v>
      </c>
      <c r="C223" t="s">
        <v>704</v>
      </c>
    </row>
    <row r="224" spans="1:3" x14ac:dyDescent="0.25">
      <c r="A224" t="s">
        <v>576</v>
      </c>
      <c r="B224">
        <v>200450</v>
      </c>
      <c r="C224" t="s">
        <v>704</v>
      </c>
    </row>
    <row r="225" spans="1:3" x14ac:dyDescent="0.25">
      <c r="A225" t="s">
        <v>115</v>
      </c>
      <c r="B225" s="11">
        <v>211257</v>
      </c>
      <c r="C225" t="s">
        <v>705</v>
      </c>
    </row>
    <row r="226" spans="1:3" x14ac:dyDescent="0.25">
      <c r="A226" t="s">
        <v>116</v>
      </c>
      <c r="B226" s="11">
        <v>217395</v>
      </c>
      <c r="C226" t="s">
        <v>705</v>
      </c>
    </row>
    <row r="227" spans="1:3" x14ac:dyDescent="0.25">
      <c r="A227" t="s">
        <v>577</v>
      </c>
      <c r="B227" s="11">
        <v>2900033</v>
      </c>
      <c r="C227" t="s">
        <v>704</v>
      </c>
    </row>
    <row r="228" spans="1:3" x14ac:dyDescent="0.25">
      <c r="A228" t="s">
        <v>578</v>
      </c>
      <c r="B228" s="11">
        <v>14200104</v>
      </c>
      <c r="C228" t="s">
        <v>704</v>
      </c>
    </row>
    <row r="229" spans="1:3" x14ac:dyDescent="0.25">
      <c r="A229" t="s">
        <v>579</v>
      </c>
      <c r="B229">
        <v>14517825</v>
      </c>
      <c r="C229" t="s">
        <v>704</v>
      </c>
    </row>
    <row r="230" spans="1:3" x14ac:dyDescent="0.25">
      <c r="A230" t="s">
        <v>580</v>
      </c>
      <c r="B230" s="11">
        <v>271675</v>
      </c>
      <c r="C230" t="s">
        <v>704</v>
      </c>
    </row>
    <row r="231" spans="1:3" x14ac:dyDescent="0.25">
      <c r="A231" t="s">
        <v>332</v>
      </c>
      <c r="B231" s="11">
        <v>233706</v>
      </c>
      <c r="C231" t="s">
        <v>705</v>
      </c>
    </row>
    <row r="232" spans="1:3" x14ac:dyDescent="0.25">
      <c r="A232" t="s">
        <v>581</v>
      </c>
      <c r="B232" s="11">
        <v>4636961</v>
      </c>
      <c r="C232" t="s">
        <v>704</v>
      </c>
    </row>
    <row r="233" spans="1:3" x14ac:dyDescent="0.25">
      <c r="A233" t="s">
        <v>117</v>
      </c>
      <c r="B233" s="11">
        <v>217476</v>
      </c>
      <c r="C233" t="s">
        <v>704</v>
      </c>
    </row>
    <row r="234" spans="1:3" x14ac:dyDescent="0.25">
      <c r="A234" t="s">
        <v>582</v>
      </c>
      <c r="B234">
        <v>203734</v>
      </c>
      <c r="C234" t="s">
        <v>703</v>
      </c>
    </row>
    <row r="235" spans="1:3" x14ac:dyDescent="0.25">
      <c r="A235" t="s">
        <v>369</v>
      </c>
      <c r="B235">
        <v>257648</v>
      </c>
      <c r="C235" t="s">
        <v>705</v>
      </c>
    </row>
    <row r="236" spans="1:3" x14ac:dyDescent="0.25">
      <c r="A236" t="s">
        <v>355</v>
      </c>
      <c r="B236" s="11">
        <v>208752</v>
      </c>
      <c r="C236" t="s">
        <v>703</v>
      </c>
    </row>
    <row r="237" spans="1:3" x14ac:dyDescent="0.25">
      <c r="A237" t="s">
        <v>118</v>
      </c>
      <c r="B237" s="11">
        <v>206903</v>
      </c>
      <c r="C237" t="s">
        <v>704</v>
      </c>
    </row>
    <row r="238" spans="1:3" x14ac:dyDescent="0.25">
      <c r="A238" t="s">
        <v>583</v>
      </c>
      <c r="B238" s="11">
        <v>4000803</v>
      </c>
      <c r="C238" t="s">
        <v>704</v>
      </c>
    </row>
    <row r="239" spans="1:3" x14ac:dyDescent="0.25">
      <c r="A239" t="s">
        <v>584</v>
      </c>
      <c r="B239" s="11">
        <v>1055356</v>
      </c>
      <c r="C239" t="s">
        <v>704</v>
      </c>
    </row>
    <row r="240" spans="1:3" x14ac:dyDescent="0.25">
      <c r="A240" t="s">
        <v>458</v>
      </c>
      <c r="B240" s="11">
        <v>201944</v>
      </c>
      <c r="C240" t="s">
        <v>705</v>
      </c>
    </row>
    <row r="241" spans="1:3" x14ac:dyDescent="0.25">
      <c r="A241" t="s">
        <v>585</v>
      </c>
      <c r="B241" s="11">
        <v>13400045</v>
      </c>
      <c r="C241" t="s">
        <v>704</v>
      </c>
    </row>
    <row r="242" spans="1:3" x14ac:dyDescent="0.25">
      <c r="A242" t="s">
        <v>586</v>
      </c>
      <c r="B242" s="11">
        <v>4100026</v>
      </c>
      <c r="C242" t="s">
        <v>703</v>
      </c>
    </row>
    <row r="243" spans="1:3" x14ac:dyDescent="0.25">
      <c r="A243" t="s">
        <v>356</v>
      </c>
      <c r="B243" s="11">
        <v>232785</v>
      </c>
      <c r="C243" t="s">
        <v>703</v>
      </c>
    </row>
    <row r="244" spans="1:3" x14ac:dyDescent="0.25">
      <c r="A244" t="s">
        <v>389</v>
      </c>
      <c r="B244" s="11">
        <v>203599</v>
      </c>
      <c r="C244" t="s">
        <v>704</v>
      </c>
    </row>
    <row r="245" spans="1:3" x14ac:dyDescent="0.25">
      <c r="A245" t="s">
        <v>587</v>
      </c>
      <c r="B245" s="11">
        <v>13712438</v>
      </c>
      <c r="C245" t="s">
        <v>704</v>
      </c>
    </row>
    <row r="246" spans="1:3" x14ac:dyDescent="0.25">
      <c r="A246" t="s">
        <v>588</v>
      </c>
      <c r="B246" s="11">
        <v>2802015</v>
      </c>
      <c r="C246" t="s">
        <v>704</v>
      </c>
    </row>
    <row r="247" spans="1:3" x14ac:dyDescent="0.25">
      <c r="A247" t="s">
        <v>119</v>
      </c>
      <c r="B247" s="11">
        <v>263133</v>
      </c>
      <c r="C247" t="s">
        <v>704</v>
      </c>
    </row>
    <row r="248" spans="1:3" x14ac:dyDescent="0.25">
      <c r="A248" t="s">
        <v>120</v>
      </c>
      <c r="B248" s="11">
        <v>202614</v>
      </c>
      <c r="C248" t="s">
        <v>705</v>
      </c>
    </row>
    <row r="249" spans="1:3" x14ac:dyDescent="0.25">
      <c r="A249" t="s">
        <v>121</v>
      </c>
      <c r="B249" s="11">
        <v>205036</v>
      </c>
      <c r="C249" t="s">
        <v>705</v>
      </c>
    </row>
    <row r="250" spans="1:3" x14ac:dyDescent="0.25">
      <c r="A250" t="s">
        <v>589</v>
      </c>
      <c r="B250" s="11">
        <v>1024256</v>
      </c>
      <c r="C250" t="s">
        <v>704</v>
      </c>
    </row>
    <row r="251" spans="1:3" x14ac:dyDescent="0.25">
      <c r="A251" t="s">
        <v>312</v>
      </c>
      <c r="B251" s="11">
        <v>233730</v>
      </c>
      <c r="C251" t="s">
        <v>705</v>
      </c>
    </row>
    <row r="252" spans="1:3" x14ac:dyDescent="0.25">
      <c r="A252" t="s">
        <v>323</v>
      </c>
      <c r="B252">
        <v>252433</v>
      </c>
      <c r="C252" t="s">
        <v>705</v>
      </c>
    </row>
    <row r="253" spans="1:3" x14ac:dyDescent="0.25">
      <c r="A253" t="s">
        <v>590</v>
      </c>
      <c r="B253" s="11">
        <v>4125240</v>
      </c>
      <c r="C253" t="s">
        <v>704</v>
      </c>
    </row>
    <row r="254" spans="1:3" x14ac:dyDescent="0.25">
      <c r="A254" t="s">
        <v>591</v>
      </c>
      <c r="B254" s="11">
        <v>11602074</v>
      </c>
      <c r="C254" t="s">
        <v>704</v>
      </c>
    </row>
    <row r="255" spans="1:3" x14ac:dyDescent="0.25">
      <c r="A255" t="s">
        <v>122</v>
      </c>
      <c r="B255" s="11">
        <v>20652496</v>
      </c>
      <c r="C255" t="s">
        <v>705</v>
      </c>
    </row>
    <row r="256" spans="1:3" x14ac:dyDescent="0.25">
      <c r="A256" t="s">
        <v>592</v>
      </c>
      <c r="B256" s="11">
        <v>25837788</v>
      </c>
      <c r="C256" t="s">
        <v>704</v>
      </c>
    </row>
    <row r="257" spans="1:3" x14ac:dyDescent="0.25">
      <c r="A257" t="s">
        <v>593</v>
      </c>
      <c r="B257" s="11"/>
      <c r="C257" t="s">
        <v>703</v>
      </c>
    </row>
    <row r="258" spans="1:3" x14ac:dyDescent="0.25">
      <c r="A258" t="s">
        <v>594</v>
      </c>
      <c r="B258" s="11">
        <v>4657160</v>
      </c>
      <c r="C258" t="s">
        <v>704</v>
      </c>
    </row>
    <row r="259" spans="1:3" x14ac:dyDescent="0.25">
      <c r="A259" t="s">
        <v>38</v>
      </c>
      <c r="B259">
        <v>208787</v>
      </c>
      <c r="C259" t="s">
        <v>705</v>
      </c>
    </row>
    <row r="260" spans="1:3" x14ac:dyDescent="0.25">
      <c r="A260" t="s">
        <v>123</v>
      </c>
      <c r="B260">
        <v>204943</v>
      </c>
      <c r="C260" t="s">
        <v>705</v>
      </c>
    </row>
    <row r="261" spans="1:3" x14ac:dyDescent="0.25">
      <c r="A261" t="s">
        <v>595</v>
      </c>
      <c r="B261" s="11">
        <v>405221</v>
      </c>
      <c r="C261" t="s">
        <v>704</v>
      </c>
    </row>
    <row r="262" spans="1:3" x14ac:dyDescent="0.25">
      <c r="A262" t="s">
        <v>124</v>
      </c>
      <c r="B262">
        <v>263249</v>
      </c>
      <c r="C262" t="s">
        <v>704</v>
      </c>
    </row>
    <row r="263" spans="1:3" x14ac:dyDescent="0.25">
      <c r="A263" s="11" t="s">
        <v>370</v>
      </c>
      <c r="B263" s="11">
        <v>218227</v>
      </c>
      <c r="C263" t="s">
        <v>705</v>
      </c>
    </row>
    <row r="264" spans="1:3" x14ac:dyDescent="0.25">
      <c r="A264" t="s">
        <v>596</v>
      </c>
      <c r="B264" s="11">
        <v>293016</v>
      </c>
      <c r="C264" t="s">
        <v>703</v>
      </c>
    </row>
    <row r="265" spans="1:3" x14ac:dyDescent="0.25">
      <c r="A265" t="s">
        <v>597</v>
      </c>
      <c r="B265" s="11">
        <v>238597</v>
      </c>
      <c r="C265" t="s">
        <v>704</v>
      </c>
    </row>
    <row r="266" spans="1:3" x14ac:dyDescent="0.25">
      <c r="A266" t="s">
        <v>598</v>
      </c>
      <c r="B266" s="11"/>
      <c r="C266" t="s">
        <v>703</v>
      </c>
    </row>
    <row r="267" spans="1:3" x14ac:dyDescent="0.25">
      <c r="A267" t="s">
        <v>371</v>
      </c>
      <c r="B267">
        <v>252972</v>
      </c>
      <c r="C267" t="s">
        <v>705</v>
      </c>
    </row>
    <row r="268" spans="1:3" x14ac:dyDescent="0.25">
      <c r="A268" t="s">
        <v>125</v>
      </c>
      <c r="B268" s="11">
        <v>218545</v>
      </c>
      <c r="C268" t="s">
        <v>704</v>
      </c>
    </row>
    <row r="269" spans="1:3" x14ac:dyDescent="0.25">
      <c r="A269" t="s">
        <v>738</v>
      </c>
      <c r="B269" s="11">
        <v>218553</v>
      </c>
      <c r="C269" t="s">
        <v>705</v>
      </c>
    </row>
    <row r="270" spans="1:3" x14ac:dyDescent="0.25">
      <c r="A270" t="s">
        <v>383</v>
      </c>
      <c r="B270" s="11">
        <v>202312</v>
      </c>
      <c r="C270" t="s">
        <v>705</v>
      </c>
    </row>
    <row r="271" spans="1:3" x14ac:dyDescent="0.25">
      <c r="A271" t="s">
        <v>734</v>
      </c>
      <c r="B271" s="11">
        <v>232688</v>
      </c>
      <c r="C271" t="s">
        <v>705</v>
      </c>
    </row>
    <row r="272" spans="1:3" x14ac:dyDescent="0.25">
      <c r="A272" t="s">
        <v>126</v>
      </c>
      <c r="B272" s="11">
        <v>218626</v>
      </c>
      <c r="C272" t="s">
        <v>704</v>
      </c>
    </row>
    <row r="273" spans="1:3" x14ac:dyDescent="0.25">
      <c r="A273" t="s">
        <v>599</v>
      </c>
      <c r="B273" s="11">
        <v>231207</v>
      </c>
      <c r="C273" t="s">
        <v>704</v>
      </c>
    </row>
    <row r="274" spans="1:3" x14ac:dyDescent="0.25">
      <c r="A274" t="s">
        <v>127</v>
      </c>
      <c r="B274" s="11">
        <v>229504</v>
      </c>
      <c r="C274" t="s">
        <v>705</v>
      </c>
    </row>
    <row r="275" spans="1:3" x14ac:dyDescent="0.25">
      <c r="A275" t="s">
        <v>600</v>
      </c>
      <c r="B275" s="11">
        <v>15900045</v>
      </c>
      <c r="C275" t="s">
        <v>704</v>
      </c>
    </row>
    <row r="276" spans="1:3" x14ac:dyDescent="0.25">
      <c r="A276" t="s">
        <v>728</v>
      </c>
      <c r="B276" s="11">
        <v>294977</v>
      </c>
      <c r="C276" t="s">
        <v>704</v>
      </c>
    </row>
    <row r="277" spans="1:3" x14ac:dyDescent="0.25">
      <c r="A277" s="11" t="s">
        <v>601</v>
      </c>
      <c r="B277" s="11"/>
      <c r="C277" t="s">
        <v>703</v>
      </c>
    </row>
    <row r="278" spans="1:3" x14ac:dyDescent="0.25">
      <c r="A278" s="11" t="s">
        <v>128</v>
      </c>
      <c r="B278" s="11">
        <v>201570</v>
      </c>
      <c r="C278" t="s">
        <v>705</v>
      </c>
    </row>
    <row r="279" spans="1:3" x14ac:dyDescent="0.25">
      <c r="A279" s="11" t="s">
        <v>602</v>
      </c>
      <c r="B279" s="11">
        <v>232858</v>
      </c>
      <c r="C279" t="s">
        <v>703</v>
      </c>
    </row>
    <row r="280" spans="1:3" x14ac:dyDescent="0.25">
      <c r="A280" t="s">
        <v>129</v>
      </c>
      <c r="B280" s="11">
        <v>203963</v>
      </c>
      <c r="C280" t="s">
        <v>705</v>
      </c>
    </row>
    <row r="281" spans="1:3" x14ac:dyDescent="0.25">
      <c r="A281" t="s">
        <v>386</v>
      </c>
      <c r="B281" s="11">
        <v>205044</v>
      </c>
      <c r="C281" t="s">
        <v>705</v>
      </c>
    </row>
    <row r="282" spans="1:3" x14ac:dyDescent="0.25">
      <c r="A282" t="s">
        <v>603</v>
      </c>
      <c r="B282" s="11">
        <v>201634</v>
      </c>
      <c r="C282" t="s">
        <v>705</v>
      </c>
    </row>
    <row r="283" spans="1:3" x14ac:dyDescent="0.25">
      <c r="A283" t="s">
        <v>130</v>
      </c>
      <c r="B283" s="11">
        <v>201073</v>
      </c>
      <c r="C283" t="s">
        <v>705</v>
      </c>
    </row>
    <row r="284" spans="1:3" x14ac:dyDescent="0.25">
      <c r="A284" t="s">
        <v>357</v>
      </c>
      <c r="B284" s="11">
        <v>218758</v>
      </c>
      <c r="C284" t="s">
        <v>704</v>
      </c>
    </row>
    <row r="285" spans="1:3" x14ac:dyDescent="0.25">
      <c r="A285" t="s">
        <v>604</v>
      </c>
      <c r="B285" s="11">
        <v>20655185</v>
      </c>
      <c r="C285" t="s">
        <v>704</v>
      </c>
    </row>
    <row r="286" spans="1:3" x14ac:dyDescent="0.25">
      <c r="A286" t="s">
        <v>605</v>
      </c>
      <c r="B286" s="11">
        <v>236209</v>
      </c>
      <c r="C286" t="s">
        <v>704</v>
      </c>
    </row>
    <row r="287" spans="1:3" x14ac:dyDescent="0.25">
      <c r="A287" t="s">
        <v>131</v>
      </c>
      <c r="B287" s="11">
        <v>200859</v>
      </c>
      <c r="C287" t="s">
        <v>704</v>
      </c>
    </row>
    <row r="288" spans="1:3" x14ac:dyDescent="0.25">
      <c r="A288" t="s">
        <v>606</v>
      </c>
      <c r="B288" s="11">
        <v>906719</v>
      </c>
      <c r="C288" t="s">
        <v>704</v>
      </c>
    </row>
    <row r="289" spans="1:3" x14ac:dyDescent="0.25">
      <c r="A289" t="s">
        <v>132</v>
      </c>
      <c r="B289" s="11">
        <v>211478</v>
      </c>
      <c r="C289" t="s">
        <v>704</v>
      </c>
    </row>
    <row r="290" spans="1:3" x14ac:dyDescent="0.25">
      <c r="A290" t="s">
        <v>31</v>
      </c>
      <c r="B290">
        <v>239828</v>
      </c>
      <c r="C290" t="s">
        <v>704</v>
      </c>
    </row>
    <row r="291" spans="1:3" x14ac:dyDescent="0.25">
      <c r="A291" t="s">
        <v>607</v>
      </c>
      <c r="C291" t="s">
        <v>703</v>
      </c>
    </row>
    <row r="292" spans="1:3" x14ac:dyDescent="0.25">
      <c r="A292" t="s">
        <v>39</v>
      </c>
      <c r="B292" s="11">
        <v>201987</v>
      </c>
      <c r="C292" t="s">
        <v>705</v>
      </c>
    </row>
    <row r="293" spans="1:3" x14ac:dyDescent="0.25">
      <c r="A293" t="s">
        <v>608</v>
      </c>
      <c r="B293" s="11"/>
      <c r="C293" t="s">
        <v>703</v>
      </c>
    </row>
    <row r="294" spans="1:3" x14ac:dyDescent="0.25">
      <c r="A294" t="s">
        <v>609</v>
      </c>
      <c r="B294" s="11">
        <v>218910</v>
      </c>
      <c r="C294" t="s">
        <v>703</v>
      </c>
    </row>
    <row r="295" spans="1:3" x14ac:dyDescent="0.25">
      <c r="A295" t="s">
        <v>32</v>
      </c>
      <c r="B295" s="11">
        <v>208833</v>
      </c>
      <c r="C295" t="s">
        <v>705</v>
      </c>
    </row>
    <row r="296" spans="1:3" x14ac:dyDescent="0.25">
      <c r="A296" t="s">
        <v>40</v>
      </c>
      <c r="B296" s="11">
        <v>218928</v>
      </c>
      <c r="C296" t="s">
        <v>704</v>
      </c>
    </row>
    <row r="297" spans="1:3" x14ac:dyDescent="0.25">
      <c r="A297" t="s">
        <v>610</v>
      </c>
      <c r="B297" s="11">
        <v>208124</v>
      </c>
      <c r="C297" t="s">
        <v>703</v>
      </c>
    </row>
    <row r="298" spans="1:3" x14ac:dyDescent="0.25">
      <c r="A298" t="s">
        <v>611</v>
      </c>
      <c r="B298" s="11"/>
      <c r="C298" t="s">
        <v>703</v>
      </c>
    </row>
    <row r="299" spans="1:3" x14ac:dyDescent="0.25">
      <c r="A299" t="s">
        <v>612</v>
      </c>
      <c r="B299" s="11">
        <v>11600136</v>
      </c>
      <c r="C299" t="s">
        <v>704</v>
      </c>
    </row>
    <row r="300" spans="1:3" x14ac:dyDescent="0.25">
      <c r="A300" t="s">
        <v>613</v>
      </c>
      <c r="B300">
        <v>901385</v>
      </c>
      <c r="C300" t="s">
        <v>704</v>
      </c>
    </row>
    <row r="301" spans="1:3" x14ac:dyDescent="0.25">
      <c r="A301" t="s">
        <v>614</v>
      </c>
      <c r="B301">
        <v>209473</v>
      </c>
      <c r="C301" t="s">
        <v>704</v>
      </c>
    </row>
    <row r="302" spans="1:3" x14ac:dyDescent="0.25">
      <c r="A302" s="11" t="s">
        <v>615</v>
      </c>
      <c r="B302" s="11">
        <v>600059</v>
      </c>
      <c r="C302" t="s">
        <v>704</v>
      </c>
    </row>
    <row r="303" spans="1:3" x14ac:dyDescent="0.25">
      <c r="A303" t="s">
        <v>133</v>
      </c>
      <c r="B303" s="11">
        <v>202746</v>
      </c>
      <c r="C303" t="s">
        <v>705</v>
      </c>
    </row>
    <row r="304" spans="1:3" x14ac:dyDescent="0.25">
      <c r="A304" t="s">
        <v>134</v>
      </c>
      <c r="B304" s="11">
        <v>227633</v>
      </c>
      <c r="C304" t="s">
        <v>704</v>
      </c>
    </row>
    <row r="305" spans="1:3" x14ac:dyDescent="0.25">
      <c r="A305" t="s">
        <v>41</v>
      </c>
      <c r="B305" s="11">
        <v>263419</v>
      </c>
      <c r="C305" t="s">
        <v>704</v>
      </c>
    </row>
    <row r="306" spans="1:3" x14ac:dyDescent="0.25">
      <c r="A306" t="s">
        <v>616</v>
      </c>
      <c r="B306" s="11">
        <v>259012</v>
      </c>
      <c r="C306" t="s">
        <v>704</v>
      </c>
    </row>
    <row r="307" spans="1:3" x14ac:dyDescent="0.25">
      <c r="A307" t="s">
        <v>617</v>
      </c>
      <c r="B307" s="11">
        <v>12971367</v>
      </c>
      <c r="C307" t="s">
        <v>704</v>
      </c>
    </row>
    <row r="308" spans="1:3" x14ac:dyDescent="0.25">
      <c r="A308" t="s">
        <v>618</v>
      </c>
      <c r="B308" s="11">
        <v>613606</v>
      </c>
      <c r="C308" t="s">
        <v>704</v>
      </c>
    </row>
    <row r="309" spans="1:3" x14ac:dyDescent="0.25">
      <c r="A309" t="s">
        <v>135</v>
      </c>
      <c r="B309" s="11">
        <v>204757</v>
      </c>
      <c r="C309" t="s">
        <v>705</v>
      </c>
    </row>
    <row r="310" spans="1:3" x14ac:dyDescent="0.25">
      <c r="A310" t="s">
        <v>619</v>
      </c>
      <c r="B310" s="11">
        <v>12400980</v>
      </c>
      <c r="C310" t="s">
        <v>704</v>
      </c>
    </row>
    <row r="311" spans="1:3" x14ac:dyDescent="0.25">
      <c r="A311" t="s">
        <v>42</v>
      </c>
      <c r="B311">
        <v>204234</v>
      </c>
      <c r="C311" t="s">
        <v>705</v>
      </c>
    </row>
    <row r="312" spans="1:3" x14ac:dyDescent="0.25">
      <c r="A312" t="s">
        <v>475</v>
      </c>
      <c r="B312">
        <v>253421</v>
      </c>
      <c r="C312" t="s">
        <v>705</v>
      </c>
    </row>
    <row r="313" spans="1:3" x14ac:dyDescent="0.25">
      <c r="A313" t="s">
        <v>136</v>
      </c>
      <c r="B313">
        <v>201367</v>
      </c>
      <c r="C313" t="s">
        <v>705</v>
      </c>
    </row>
    <row r="314" spans="1:3" x14ac:dyDescent="0.25">
      <c r="A314" t="s">
        <v>137</v>
      </c>
      <c r="B314">
        <v>232289</v>
      </c>
      <c r="C314" t="s">
        <v>705</v>
      </c>
    </row>
    <row r="315" spans="1:3" x14ac:dyDescent="0.25">
      <c r="A315" t="s">
        <v>620</v>
      </c>
      <c r="B315">
        <v>700290</v>
      </c>
      <c r="C315" t="s">
        <v>704</v>
      </c>
    </row>
    <row r="316" spans="1:3" x14ac:dyDescent="0.25">
      <c r="A316" t="s">
        <v>621</v>
      </c>
      <c r="B316">
        <v>252034</v>
      </c>
      <c r="C316" t="s">
        <v>704</v>
      </c>
    </row>
    <row r="317" spans="1:3" x14ac:dyDescent="0.25">
      <c r="A317" t="s">
        <v>622</v>
      </c>
      <c r="B317">
        <v>254746</v>
      </c>
      <c r="C317" t="s">
        <v>703</v>
      </c>
    </row>
    <row r="318" spans="1:3" x14ac:dyDescent="0.25">
      <c r="A318" t="s">
        <v>138</v>
      </c>
      <c r="B318">
        <v>209813</v>
      </c>
      <c r="C318" t="s">
        <v>705</v>
      </c>
    </row>
    <row r="319" spans="1:3" x14ac:dyDescent="0.25">
      <c r="A319" t="s">
        <v>623</v>
      </c>
      <c r="B319">
        <v>246972</v>
      </c>
      <c r="C319" t="s">
        <v>705</v>
      </c>
    </row>
    <row r="320" spans="1:3" x14ac:dyDescent="0.25">
      <c r="A320" t="s">
        <v>624</v>
      </c>
      <c r="B320">
        <v>1305573</v>
      </c>
      <c r="C320" t="s">
        <v>704</v>
      </c>
    </row>
    <row r="321" spans="1:3" x14ac:dyDescent="0.25">
      <c r="A321" t="s">
        <v>463</v>
      </c>
      <c r="B321">
        <v>245810</v>
      </c>
      <c r="C321" t="s">
        <v>705</v>
      </c>
    </row>
    <row r="322" spans="1:3" x14ac:dyDescent="0.25">
      <c r="A322" t="s">
        <v>625</v>
      </c>
      <c r="C322" t="s">
        <v>703</v>
      </c>
    </row>
    <row r="323" spans="1:3" x14ac:dyDescent="0.25">
      <c r="A323" t="s">
        <v>372</v>
      </c>
      <c r="B323">
        <v>219576</v>
      </c>
      <c r="C323" t="s">
        <v>704</v>
      </c>
    </row>
    <row r="324" spans="1:3" x14ac:dyDescent="0.25">
      <c r="A324" t="s">
        <v>308</v>
      </c>
      <c r="B324">
        <v>238813</v>
      </c>
      <c r="C324" t="s">
        <v>705</v>
      </c>
    </row>
    <row r="325" spans="1:3" x14ac:dyDescent="0.25">
      <c r="A325" t="s">
        <v>139</v>
      </c>
      <c r="B325">
        <v>204250</v>
      </c>
      <c r="C325" t="s">
        <v>705</v>
      </c>
    </row>
    <row r="326" spans="1:3" x14ac:dyDescent="0.25">
      <c r="A326" t="s">
        <v>626</v>
      </c>
      <c r="B326">
        <v>227781</v>
      </c>
      <c r="C326" t="s">
        <v>703</v>
      </c>
    </row>
    <row r="327" spans="1:3" x14ac:dyDescent="0.25">
      <c r="A327" t="s">
        <v>140</v>
      </c>
      <c r="B327">
        <v>219614</v>
      </c>
      <c r="C327" t="s">
        <v>705</v>
      </c>
    </row>
    <row r="328" spans="1:3" x14ac:dyDescent="0.25">
      <c r="A328" t="s">
        <v>724</v>
      </c>
      <c r="B328">
        <v>1035410</v>
      </c>
      <c r="C328" t="s">
        <v>704</v>
      </c>
    </row>
    <row r="329" spans="1:3" x14ac:dyDescent="0.25">
      <c r="A329" t="s">
        <v>627</v>
      </c>
      <c r="C329" t="s">
        <v>703</v>
      </c>
    </row>
    <row r="330" spans="1:3" x14ac:dyDescent="0.25">
      <c r="A330" t="s">
        <v>23</v>
      </c>
      <c r="B330">
        <v>237159</v>
      </c>
      <c r="C330" t="s">
        <v>704</v>
      </c>
    </row>
    <row r="331" spans="1:3" x14ac:dyDescent="0.25">
      <c r="A331" t="s">
        <v>141</v>
      </c>
      <c r="B331">
        <v>219690</v>
      </c>
      <c r="C331" t="s">
        <v>705</v>
      </c>
    </row>
    <row r="332" spans="1:3" x14ac:dyDescent="0.25">
      <c r="A332" t="s">
        <v>628</v>
      </c>
      <c r="B332">
        <v>707953</v>
      </c>
      <c r="C332" t="s">
        <v>704</v>
      </c>
    </row>
    <row r="333" spans="1:3" x14ac:dyDescent="0.25">
      <c r="A333" t="s">
        <v>142</v>
      </c>
      <c r="B333">
        <v>219738</v>
      </c>
      <c r="C333" t="s">
        <v>704</v>
      </c>
    </row>
    <row r="334" spans="1:3" x14ac:dyDescent="0.25">
      <c r="A334" t="s">
        <v>43</v>
      </c>
      <c r="B334">
        <v>219746</v>
      </c>
      <c r="C334" t="s">
        <v>705</v>
      </c>
    </row>
    <row r="335" spans="1:3" x14ac:dyDescent="0.25">
      <c r="A335" t="s">
        <v>44</v>
      </c>
      <c r="B335">
        <v>201316</v>
      </c>
      <c r="C335" t="s">
        <v>705</v>
      </c>
    </row>
    <row r="336" spans="1:3" x14ac:dyDescent="0.25">
      <c r="A336" t="s">
        <v>629</v>
      </c>
      <c r="B336">
        <v>890480</v>
      </c>
      <c r="C336" t="s">
        <v>704</v>
      </c>
    </row>
    <row r="337" spans="1:3" x14ac:dyDescent="0.25">
      <c r="A337" t="s">
        <v>373</v>
      </c>
      <c r="B337">
        <v>219843</v>
      </c>
      <c r="C337" t="s">
        <v>704</v>
      </c>
    </row>
    <row r="338" spans="1:3" x14ac:dyDescent="0.25">
      <c r="A338" t="s">
        <v>630</v>
      </c>
      <c r="B338">
        <v>201952</v>
      </c>
      <c r="C338" t="s">
        <v>704</v>
      </c>
    </row>
    <row r="339" spans="1:3" x14ac:dyDescent="0.25">
      <c r="A339" t="s">
        <v>631</v>
      </c>
      <c r="B339">
        <v>639990</v>
      </c>
      <c r="C339" t="s">
        <v>704</v>
      </c>
    </row>
    <row r="340" spans="1:3" x14ac:dyDescent="0.25">
      <c r="A340" t="s">
        <v>45</v>
      </c>
      <c r="B340">
        <v>260371</v>
      </c>
      <c r="C340" t="s">
        <v>705</v>
      </c>
    </row>
    <row r="341" spans="1:3" x14ac:dyDescent="0.25">
      <c r="A341" t="s">
        <v>632</v>
      </c>
      <c r="C341" t="s">
        <v>703</v>
      </c>
    </row>
    <row r="342" spans="1:3" x14ac:dyDescent="0.25">
      <c r="A342" t="s">
        <v>736</v>
      </c>
      <c r="B342">
        <v>295175</v>
      </c>
      <c r="C342" t="s">
        <v>705</v>
      </c>
    </row>
    <row r="343" spans="1:3" x14ac:dyDescent="0.25">
      <c r="A343" t="s">
        <v>143</v>
      </c>
      <c r="B343">
        <v>227846</v>
      </c>
      <c r="C343" t="s">
        <v>705</v>
      </c>
    </row>
    <row r="344" spans="1:3" x14ac:dyDescent="0.25">
      <c r="A344" t="s">
        <v>374</v>
      </c>
      <c r="B344">
        <v>233960</v>
      </c>
      <c r="C344" t="s">
        <v>705</v>
      </c>
    </row>
    <row r="345" spans="1:3" x14ac:dyDescent="0.25">
      <c r="A345" t="s">
        <v>144</v>
      </c>
      <c r="B345">
        <v>209961</v>
      </c>
      <c r="C345" t="s">
        <v>705</v>
      </c>
    </row>
    <row r="346" spans="1:3" x14ac:dyDescent="0.25">
      <c r="A346" t="s">
        <v>633</v>
      </c>
      <c r="B346">
        <v>211630</v>
      </c>
      <c r="C346" t="s">
        <v>703</v>
      </c>
    </row>
    <row r="347" spans="1:3" x14ac:dyDescent="0.25">
      <c r="A347" t="s">
        <v>634</v>
      </c>
      <c r="B347">
        <v>1134680</v>
      </c>
      <c r="C347" t="s">
        <v>704</v>
      </c>
    </row>
    <row r="348" spans="1:3" x14ac:dyDescent="0.25">
      <c r="A348" t="s">
        <v>635</v>
      </c>
      <c r="B348">
        <v>268534</v>
      </c>
      <c r="C348" t="s">
        <v>704</v>
      </c>
    </row>
    <row r="349" spans="1:3" x14ac:dyDescent="0.25">
      <c r="A349" t="s">
        <v>453</v>
      </c>
      <c r="B349">
        <v>207047</v>
      </c>
      <c r="C349" t="s">
        <v>705</v>
      </c>
    </row>
    <row r="350" spans="1:3" x14ac:dyDescent="0.25">
      <c r="A350" t="s">
        <v>145</v>
      </c>
      <c r="B350">
        <v>219975</v>
      </c>
      <c r="C350" t="s">
        <v>704</v>
      </c>
    </row>
    <row r="351" spans="1:3" x14ac:dyDescent="0.25">
      <c r="A351" t="s">
        <v>636</v>
      </c>
      <c r="B351">
        <v>1036726</v>
      </c>
      <c r="C351" t="s">
        <v>704</v>
      </c>
    </row>
    <row r="352" spans="1:3" x14ac:dyDescent="0.25">
      <c r="A352" t="s">
        <v>464</v>
      </c>
      <c r="B352">
        <v>251062</v>
      </c>
      <c r="C352" t="s">
        <v>704</v>
      </c>
    </row>
    <row r="353" spans="1:3" x14ac:dyDescent="0.25">
      <c r="A353" t="s">
        <v>637</v>
      </c>
      <c r="B353">
        <v>600172</v>
      </c>
      <c r="C353" t="s">
        <v>704</v>
      </c>
    </row>
    <row r="354" spans="1:3" x14ac:dyDescent="0.25">
      <c r="A354" t="s">
        <v>638</v>
      </c>
      <c r="B354">
        <v>16212002</v>
      </c>
      <c r="C354" t="s">
        <v>704</v>
      </c>
    </row>
    <row r="355" spans="1:3" x14ac:dyDescent="0.25">
      <c r="A355" t="s">
        <v>639</v>
      </c>
      <c r="B355">
        <v>4642325</v>
      </c>
      <c r="C355" t="s">
        <v>704</v>
      </c>
    </row>
    <row r="356" spans="1:3" x14ac:dyDescent="0.25">
      <c r="A356" t="s">
        <v>375</v>
      </c>
      <c r="B356">
        <v>220019</v>
      </c>
      <c r="C356" t="s">
        <v>705</v>
      </c>
    </row>
    <row r="357" spans="1:3" x14ac:dyDescent="0.25">
      <c r="A357" t="s">
        <v>640</v>
      </c>
      <c r="B357">
        <v>627232</v>
      </c>
      <c r="C357" t="s">
        <v>704</v>
      </c>
    </row>
    <row r="358" spans="1:3" x14ac:dyDescent="0.25">
      <c r="A358" t="s">
        <v>146</v>
      </c>
      <c r="B358">
        <v>220051</v>
      </c>
      <c r="C358" t="s">
        <v>705</v>
      </c>
    </row>
    <row r="359" spans="1:3" x14ac:dyDescent="0.25">
      <c r="A359" t="s">
        <v>361</v>
      </c>
      <c r="B359">
        <v>267678</v>
      </c>
      <c r="C359" t="s">
        <v>705</v>
      </c>
    </row>
    <row r="360" spans="1:3" x14ac:dyDescent="0.25">
      <c r="A360" t="s">
        <v>147</v>
      </c>
      <c r="B360">
        <v>220094</v>
      </c>
      <c r="C360" t="s">
        <v>704</v>
      </c>
    </row>
    <row r="361" spans="1:3" x14ac:dyDescent="0.25">
      <c r="A361" t="s">
        <v>454</v>
      </c>
      <c r="B361">
        <v>248410</v>
      </c>
      <c r="C361" t="s">
        <v>705</v>
      </c>
    </row>
    <row r="362" spans="1:3" x14ac:dyDescent="0.25">
      <c r="A362" t="s">
        <v>46</v>
      </c>
      <c r="B362">
        <v>206873</v>
      </c>
      <c r="C362" t="s">
        <v>704</v>
      </c>
    </row>
    <row r="363" spans="1:3" x14ac:dyDescent="0.25">
      <c r="A363" t="s">
        <v>376</v>
      </c>
      <c r="B363">
        <v>260746</v>
      </c>
      <c r="C363" t="s">
        <v>705</v>
      </c>
    </row>
    <row r="364" spans="1:3" x14ac:dyDescent="0.25">
      <c r="A364" t="s">
        <v>641</v>
      </c>
      <c r="B364">
        <v>628255</v>
      </c>
      <c r="C364" t="s">
        <v>704</v>
      </c>
    </row>
    <row r="365" spans="1:3" x14ac:dyDescent="0.25">
      <c r="A365" t="s">
        <v>642</v>
      </c>
      <c r="B365">
        <v>266701</v>
      </c>
      <c r="C365" t="s">
        <v>705</v>
      </c>
    </row>
    <row r="366" spans="1:3" x14ac:dyDescent="0.25">
      <c r="A366" t="s">
        <v>643</v>
      </c>
      <c r="B366">
        <v>16207017</v>
      </c>
      <c r="C366" t="s">
        <v>704</v>
      </c>
    </row>
    <row r="367" spans="1:3" x14ac:dyDescent="0.25">
      <c r="A367" t="s">
        <v>644</v>
      </c>
      <c r="C367" t="s">
        <v>703</v>
      </c>
    </row>
    <row r="368" spans="1:3" x14ac:dyDescent="0.25">
      <c r="A368" t="s">
        <v>316</v>
      </c>
      <c r="B368">
        <v>208949</v>
      </c>
      <c r="C368" t="s">
        <v>705</v>
      </c>
    </row>
    <row r="369" spans="1:3" x14ac:dyDescent="0.25">
      <c r="A369" t="s">
        <v>148</v>
      </c>
      <c r="B369">
        <v>238970</v>
      </c>
      <c r="C369" t="s">
        <v>705</v>
      </c>
    </row>
    <row r="370" spans="1:3" x14ac:dyDescent="0.25">
      <c r="A370" t="s">
        <v>149</v>
      </c>
      <c r="B370">
        <v>227986</v>
      </c>
      <c r="C370" t="s">
        <v>705</v>
      </c>
    </row>
    <row r="371" spans="1:3" x14ac:dyDescent="0.25">
      <c r="A371" t="s">
        <v>57</v>
      </c>
      <c r="B371">
        <v>201936</v>
      </c>
      <c r="C371" t="s">
        <v>705</v>
      </c>
    </row>
    <row r="372" spans="1:3" x14ac:dyDescent="0.25">
      <c r="A372" t="s">
        <v>645</v>
      </c>
      <c r="C372" t="s">
        <v>703</v>
      </c>
    </row>
    <row r="373" spans="1:3" x14ac:dyDescent="0.25">
      <c r="A373" t="s">
        <v>150</v>
      </c>
      <c r="B373">
        <v>263621</v>
      </c>
      <c r="C373" t="s">
        <v>705</v>
      </c>
    </row>
    <row r="374" spans="1:3" x14ac:dyDescent="0.25">
      <c r="A374" t="s">
        <v>151</v>
      </c>
      <c r="B374">
        <v>210064</v>
      </c>
      <c r="C374" t="s">
        <v>705</v>
      </c>
    </row>
    <row r="375" spans="1:3" x14ac:dyDescent="0.25">
      <c r="A375" t="s">
        <v>646</v>
      </c>
      <c r="C375" t="s">
        <v>703</v>
      </c>
    </row>
    <row r="376" spans="1:3" x14ac:dyDescent="0.25">
      <c r="A376" t="s">
        <v>390</v>
      </c>
      <c r="B376">
        <v>1009354</v>
      </c>
      <c r="C376" t="s">
        <v>704</v>
      </c>
    </row>
    <row r="377" spans="1:3" x14ac:dyDescent="0.25">
      <c r="A377" t="s">
        <v>377</v>
      </c>
      <c r="B377">
        <v>233331</v>
      </c>
      <c r="C377" t="s">
        <v>705</v>
      </c>
    </row>
    <row r="378" spans="1:3" x14ac:dyDescent="0.25">
      <c r="A378" t="s">
        <v>188</v>
      </c>
      <c r="B378">
        <v>220469</v>
      </c>
      <c r="C378" t="s">
        <v>704</v>
      </c>
    </row>
    <row r="379" spans="1:3" x14ac:dyDescent="0.25">
      <c r="A379" t="s">
        <v>647</v>
      </c>
      <c r="C379" t="s">
        <v>703</v>
      </c>
    </row>
    <row r="380" spans="1:3" x14ac:dyDescent="0.25">
      <c r="A380" t="s">
        <v>648</v>
      </c>
      <c r="B380">
        <v>12991449</v>
      </c>
      <c r="C380" t="s">
        <v>704</v>
      </c>
    </row>
    <row r="381" spans="1:3" x14ac:dyDescent="0.25">
      <c r="A381" t="s">
        <v>47</v>
      </c>
      <c r="B381">
        <v>207306</v>
      </c>
      <c r="C381" t="s">
        <v>705</v>
      </c>
    </row>
    <row r="382" spans="1:3" x14ac:dyDescent="0.25">
      <c r="A382" t="s">
        <v>649</v>
      </c>
      <c r="B382">
        <v>671096</v>
      </c>
      <c r="C382" t="s">
        <v>704</v>
      </c>
    </row>
    <row r="383" spans="1:3" x14ac:dyDescent="0.25">
      <c r="A383" t="s">
        <v>650</v>
      </c>
      <c r="B383">
        <v>4196872</v>
      </c>
      <c r="C383" t="s">
        <v>704</v>
      </c>
    </row>
    <row r="384" spans="1:3" x14ac:dyDescent="0.25">
      <c r="A384" t="s">
        <v>651</v>
      </c>
      <c r="B384">
        <v>220574</v>
      </c>
      <c r="C384" t="s">
        <v>704</v>
      </c>
    </row>
    <row r="385" spans="1:3" x14ac:dyDescent="0.25">
      <c r="A385" t="s">
        <v>152</v>
      </c>
      <c r="B385">
        <v>263664</v>
      </c>
      <c r="C385" t="s">
        <v>705</v>
      </c>
    </row>
    <row r="386" spans="1:3" x14ac:dyDescent="0.25">
      <c r="A386" t="s">
        <v>652</v>
      </c>
      <c r="B386">
        <v>249564</v>
      </c>
      <c r="C386" t="s">
        <v>703</v>
      </c>
    </row>
    <row r="387" spans="1:3" x14ac:dyDescent="0.25">
      <c r="A387" t="s">
        <v>327</v>
      </c>
      <c r="B387">
        <v>220590</v>
      </c>
      <c r="C387" t="s">
        <v>705</v>
      </c>
    </row>
    <row r="388" spans="1:3" x14ac:dyDescent="0.25">
      <c r="A388" t="s">
        <v>653</v>
      </c>
      <c r="B388">
        <v>4664159</v>
      </c>
      <c r="C388" t="s">
        <v>704</v>
      </c>
    </row>
    <row r="389" spans="1:3" x14ac:dyDescent="0.25">
      <c r="A389" t="s">
        <v>654</v>
      </c>
      <c r="B389">
        <v>208183</v>
      </c>
      <c r="C389" t="s">
        <v>703</v>
      </c>
    </row>
    <row r="390" spans="1:3" x14ac:dyDescent="0.25">
      <c r="A390" t="s">
        <v>153</v>
      </c>
      <c r="B390">
        <v>208957</v>
      </c>
      <c r="C390" t="s">
        <v>705</v>
      </c>
    </row>
    <row r="391" spans="1:3" x14ac:dyDescent="0.25">
      <c r="A391" t="s">
        <v>655</v>
      </c>
      <c r="C391" t="s">
        <v>703</v>
      </c>
    </row>
    <row r="392" spans="1:3" x14ac:dyDescent="0.25">
      <c r="A392" t="s">
        <v>154</v>
      </c>
      <c r="B392">
        <v>208965</v>
      </c>
      <c r="C392" t="s">
        <v>705</v>
      </c>
    </row>
    <row r="393" spans="1:3" x14ac:dyDescent="0.25">
      <c r="A393" t="s">
        <v>476</v>
      </c>
      <c r="B393">
        <v>228184</v>
      </c>
      <c r="C393" t="s">
        <v>704</v>
      </c>
    </row>
    <row r="394" spans="1:3" x14ac:dyDescent="0.25">
      <c r="A394" t="s">
        <v>155</v>
      </c>
      <c r="B394">
        <v>228206</v>
      </c>
      <c r="C394" t="s">
        <v>704</v>
      </c>
    </row>
    <row r="395" spans="1:3" x14ac:dyDescent="0.25">
      <c r="A395" t="s">
        <v>656</v>
      </c>
      <c r="B395">
        <v>615471</v>
      </c>
      <c r="C395" t="s">
        <v>704</v>
      </c>
    </row>
    <row r="396" spans="1:3" x14ac:dyDescent="0.25">
      <c r="A396" t="s">
        <v>657</v>
      </c>
      <c r="B396">
        <v>686034</v>
      </c>
      <c r="C396" t="s">
        <v>704</v>
      </c>
    </row>
    <row r="397" spans="1:3" x14ac:dyDescent="0.25">
      <c r="A397" t="s">
        <v>325</v>
      </c>
      <c r="B397">
        <v>221104</v>
      </c>
      <c r="C397" t="s">
        <v>705</v>
      </c>
    </row>
    <row r="398" spans="1:3" x14ac:dyDescent="0.25">
      <c r="A398" t="s">
        <v>477</v>
      </c>
      <c r="B398">
        <v>274658</v>
      </c>
      <c r="C398" t="s">
        <v>704</v>
      </c>
    </row>
    <row r="399" spans="1:3" x14ac:dyDescent="0.25">
      <c r="A399" t="s">
        <v>156</v>
      </c>
      <c r="B399">
        <v>228222</v>
      </c>
      <c r="C399" t="s">
        <v>705</v>
      </c>
    </row>
    <row r="400" spans="1:3" x14ac:dyDescent="0.25">
      <c r="A400" t="s">
        <v>157</v>
      </c>
      <c r="B400">
        <v>239216</v>
      </c>
      <c r="C400" t="s">
        <v>705</v>
      </c>
    </row>
    <row r="401" spans="1:3" x14ac:dyDescent="0.25">
      <c r="A401" t="s">
        <v>658</v>
      </c>
      <c r="B401">
        <v>4610768</v>
      </c>
      <c r="C401" t="s">
        <v>704</v>
      </c>
    </row>
    <row r="402" spans="1:3" x14ac:dyDescent="0.25">
      <c r="A402" t="s">
        <v>158</v>
      </c>
      <c r="B402">
        <v>221180</v>
      </c>
      <c r="C402" t="s">
        <v>705</v>
      </c>
    </row>
    <row r="403" spans="1:3" x14ac:dyDescent="0.25">
      <c r="A403" t="s">
        <v>659</v>
      </c>
      <c r="C403" t="s">
        <v>703</v>
      </c>
    </row>
    <row r="404" spans="1:3" x14ac:dyDescent="0.25">
      <c r="A404" t="s">
        <v>159</v>
      </c>
      <c r="B404">
        <v>263729</v>
      </c>
      <c r="C404" t="s">
        <v>704</v>
      </c>
    </row>
    <row r="405" spans="1:3" x14ac:dyDescent="0.25">
      <c r="A405" t="s">
        <v>660</v>
      </c>
      <c r="B405">
        <v>12800112</v>
      </c>
      <c r="C405" t="s">
        <v>704</v>
      </c>
    </row>
    <row r="406" spans="1:3" x14ac:dyDescent="0.25">
      <c r="A406" t="s">
        <v>661</v>
      </c>
      <c r="B406">
        <v>303445</v>
      </c>
      <c r="C406" t="s">
        <v>704</v>
      </c>
    </row>
    <row r="407" spans="1:3" x14ac:dyDescent="0.25">
      <c r="A407" t="s">
        <v>715</v>
      </c>
      <c r="B407">
        <v>248436</v>
      </c>
      <c r="C407" t="s">
        <v>704</v>
      </c>
    </row>
    <row r="408" spans="1:3" x14ac:dyDescent="0.25">
      <c r="A408" t="s">
        <v>48</v>
      </c>
      <c r="B408">
        <v>210471</v>
      </c>
      <c r="C408" t="s">
        <v>704</v>
      </c>
    </row>
    <row r="409" spans="1:3" x14ac:dyDescent="0.25">
      <c r="A409" t="s">
        <v>662</v>
      </c>
      <c r="B409">
        <v>242071</v>
      </c>
      <c r="C409" t="s">
        <v>704</v>
      </c>
    </row>
    <row r="410" spans="1:3" x14ac:dyDescent="0.25">
      <c r="A410" t="s">
        <v>663</v>
      </c>
      <c r="B410">
        <v>242080</v>
      </c>
      <c r="C410" t="s">
        <v>704</v>
      </c>
    </row>
    <row r="411" spans="1:3" x14ac:dyDescent="0.25">
      <c r="A411" t="s">
        <v>664</v>
      </c>
      <c r="B411">
        <v>12919098</v>
      </c>
      <c r="C411" t="s">
        <v>704</v>
      </c>
    </row>
    <row r="412" spans="1:3" x14ac:dyDescent="0.25">
      <c r="A412" t="s">
        <v>160</v>
      </c>
      <c r="B412">
        <v>209007</v>
      </c>
      <c r="C412" t="s">
        <v>704</v>
      </c>
    </row>
    <row r="413" spans="1:3" x14ac:dyDescent="0.25">
      <c r="A413" t="s">
        <v>665</v>
      </c>
      <c r="B413">
        <v>261670</v>
      </c>
      <c r="C413" t="s">
        <v>703</v>
      </c>
    </row>
    <row r="414" spans="1:3" x14ac:dyDescent="0.25">
      <c r="A414" t="s">
        <v>729</v>
      </c>
      <c r="B414">
        <v>291307</v>
      </c>
      <c r="C414" t="s">
        <v>704</v>
      </c>
    </row>
    <row r="415" spans="1:3" x14ac:dyDescent="0.25">
      <c r="A415" t="s">
        <v>49</v>
      </c>
      <c r="B415">
        <v>221350</v>
      </c>
      <c r="C415" t="s">
        <v>705</v>
      </c>
    </row>
    <row r="416" spans="1:3" x14ac:dyDescent="0.25">
      <c r="A416" t="s">
        <v>161</v>
      </c>
      <c r="B416">
        <v>263770</v>
      </c>
      <c r="C416" t="s">
        <v>705</v>
      </c>
    </row>
    <row r="417" spans="1:3" x14ac:dyDescent="0.25">
      <c r="A417" t="s">
        <v>666</v>
      </c>
      <c r="B417">
        <v>667102</v>
      </c>
      <c r="C417" t="s">
        <v>704</v>
      </c>
    </row>
    <row r="418" spans="1:3" x14ac:dyDescent="0.25">
      <c r="A418" t="s">
        <v>667</v>
      </c>
      <c r="B418">
        <v>368792</v>
      </c>
      <c r="C418" t="s">
        <v>704</v>
      </c>
    </row>
    <row r="419" spans="1:3" x14ac:dyDescent="0.25">
      <c r="A419" t="s">
        <v>668</v>
      </c>
      <c r="B419">
        <v>277436</v>
      </c>
      <c r="C419" t="s">
        <v>704</v>
      </c>
    </row>
    <row r="420" spans="1:3" x14ac:dyDescent="0.25">
      <c r="A420" t="s">
        <v>669</v>
      </c>
      <c r="C420" t="s">
        <v>703</v>
      </c>
    </row>
    <row r="421" spans="1:3" x14ac:dyDescent="0.25">
      <c r="A421" t="s">
        <v>670</v>
      </c>
      <c r="B421">
        <v>277851</v>
      </c>
      <c r="C421" t="s">
        <v>703</v>
      </c>
    </row>
    <row r="422" spans="1:3" x14ac:dyDescent="0.25">
      <c r="A422" t="s">
        <v>671</v>
      </c>
      <c r="B422">
        <v>6300847</v>
      </c>
      <c r="C422" t="s">
        <v>704</v>
      </c>
    </row>
    <row r="423" spans="1:3" x14ac:dyDescent="0.25">
      <c r="A423" t="s">
        <v>162</v>
      </c>
      <c r="B423">
        <v>201340</v>
      </c>
      <c r="C423" t="s">
        <v>705</v>
      </c>
    </row>
    <row r="424" spans="1:3" x14ac:dyDescent="0.25">
      <c r="A424" t="s">
        <v>465</v>
      </c>
      <c r="B424">
        <v>211869</v>
      </c>
      <c r="C424" t="s">
        <v>705</v>
      </c>
    </row>
    <row r="425" spans="1:3" x14ac:dyDescent="0.25">
      <c r="A425" t="s">
        <v>163</v>
      </c>
      <c r="B425">
        <v>221490</v>
      </c>
      <c r="C425" t="s">
        <v>705</v>
      </c>
    </row>
    <row r="426" spans="1:3" x14ac:dyDescent="0.25">
      <c r="A426" t="s">
        <v>164</v>
      </c>
      <c r="B426">
        <v>204935</v>
      </c>
      <c r="C426" t="s">
        <v>705</v>
      </c>
    </row>
    <row r="427" spans="1:3" x14ac:dyDescent="0.25">
      <c r="A427" t="s">
        <v>50</v>
      </c>
      <c r="B427">
        <v>209023</v>
      </c>
      <c r="C427" t="s">
        <v>704</v>
      </c>
    </row>
    <row r="428" spans="1:3" x14ac:dyDescent="0.25">
      <c r="A428" t="s">
        <v>165</v>
      </c>
      <c r="B428">
        <v>221716</v>
      </c>
      <c r="C428" t="s">
        <v>705</v>
      </c>
    </row>
    <row r="429" spans="1:3" x14ac:dyDescent="0.25">
      <c r="A429" t="s">
        <v>166</v>
      </c>
      <c r="B429">
        <v>221732</v>
      </c>
      <c r="C429" t="s">
        <v>704</v>
      </c>
    </row>
    <row r="430" spans="1:3" x14ac:dyDescent="0.25">
      <c r="A430" t="s">
        <v>36</v>
      </c>
      <c r="B430">
        <v>205702</v>
      </c>
      <c r="C430" t="s">
        <v>705</v>
      </c>
    </row>
    <row r="431" spans="1:3" x14ac:dyDescent="0.25">
      <c r="A431" t="s">
        <v>167</v>
      </c>
      <c r="B431">
        <v>207144</v>
      </c>
      <c r="C431" t="s">
        <v>704</v>
      </c>
    </row>
    <row r="432" spans="1:3" x14ac:dyDescent="0.25">
      <c r="A432" t="s">
        <v>168</v>
      </c>
      <c r="B432">
        <v>203823</v>
      </c>
      <c r="C432" t="s">
        <v>705</v>
      </c>
    </row>
    <row r="433" spans="1:3" x14ac:dyDescent="0.25">
      <c r="A433" t="s">
        <v>378</v>
      </c>
      <c r="B433">
        <v>266558</v>
      </c>
      <c r="C433" t="s">
        <v>704</v>
      </c>
    </row>
    <row r="434" spans="1:3" x14ac:dyDescent="0.25">
      <c r="A434" t="s">
        <v>672</v>
      </c>
      <c r="B434">
        <v>1003100</v>
      </c>
      <c r="C434" t="s">
        <v>704</v>
      </c>
    </row>
    <row r="435" spans="1:3" x14ac:dyDescent="0.25">
      <c r="A435" t="s">
        <v>673</v>
      </c>
      <c r="B435">
        <v>1035347</v>
      </c>
      <c r="C435" t="s">
        <v>704</v>
      </c>
    </row>
    <row r="436" spans="1:3" x14ac:dyDescent="0.25">
      <c r="A436" t="s">
        <v>674</v>
      </c>
      <c r="B436">
        <v>1040910</v>
      </c>
      <c r="C436" t="s">
        <v>704</v>
      </c>
    </row>
    <row r="437" spans="1:3" x14ac:dyDescent="0.25">
      <c r="A437" t="s">
        <v>675</v>
      </c>
      <c r="B437">
        <v>287806</v>
      </c>
      <c r="C437" t="s">
        <v>704</v>
      </c>
    </row>
    <row r="438" spans="1:3" x14ac:dyDescent="0.25">
      <c r="A438" t="s">
        <v>478</v>
      </c>
      <c r="B438">
        <v>253529</v>
      </c>
      <c r="C438" t="s">
        <v>704</v>
      </c>
    </row>
    <row r="439" spans="1:3" x14ac:dyDescent="0.25">
      <c r="A439" t="s">
        <v>51</v>
      </c>
      <c r="B439">
        <v>207640</v>
      </c>
      <c r="C439" t="s">
        <v>704</v>
      </c>
    </row>
    <row r="440" spans="1:3" x14ac:dyDescent="0.25">
      <c r="A440" t="s">
        <v>358</v>
      </c>
      <c r="B440">
        <v>222038</v>
      </c>
      <c r="C440" t="s">
        <v>703</v>
      </c>
    </row>
    <row r="441" spans="1:3" x14ac:dyDescent="0.25">
      <c r="A441" t="s">
        <v>335</v>
      </c>
      <c r="B441">
        <v>242250</v>
      </c>
      <c r="C441" t="s">
        <v>705</v>
      </c>
    </row>
    <row r="442" spans="1:3" x14ac:dyDescent="0.25">
      <c r="A442" t="s">
        <v>37</v>
      </c>
      <c r="B442">
        <v>205052</v>
      </c>
      <c r="C442" t="s">
        <v>705</v>
      </c>
    </row>
    <row r="443" spans="1:3" x14ac:dyDescent="0.25">
      <c r="A443" t="s">
        <v>169</v>
      </c>
      <c r="B443">
        <v>201014</v>
      </c>
      <c r="C443" t="s">
        <v>705</v>
      </c>
    </row>
    <row r="444" spans="1:3" x14ac:dyDescent="0.25">
      <c r="A444" t="s">
        <v>676</v>
      </c>
      <c r="C444" t="s">
        <v>703</v>
      </c>
    </row>
    <row r="445" spans="1:3" x14ac:dyDescent="0.25">
      <c r="A445" t="s">
        <v>321</v>
      </c>
      <c r="B445">
        <v>205877</v>
      </c>
      <c r="C445" t="s">
        <v>705</v>
      </c>
    </row>
    <row r="446" spans="1:3" x14ac:dyDescent="0.25">
      <c r="A446" t="s">
        <v>379</v>
      </c>
      <c r="B446">
        <v>207250</v>
      </c>
      <c r="C446" t="s">
        <v>705</v>
      </c>
    </row>
    <row r="447" spans="1:3" x14ac:dyDescent="0.25">
      <c r="A447" t="s">
        <v>170</v>
      </c>
      <c r="B447">
        <v>207764</v>
      </c>
      <c r="C447" t="s">
        <v>705</v>
      </c>
    </row>
    <row r="448" spans="1:3" x14ac:dyDescent="0.25">
      <c r="A448" t="s">
        <v>52</v>
      </c>
      <c r="B448">
        <v>228591</v>
      </c>
      <c r="C448" t="s">
        <v>705</v>
      </c>
    </row>
    <row r="449" spans="1:3" x14ac:dyDescent="0.25">
      <c r="A449" t="s">
        <v>171</v>
      </c>
      <c r="B449">
        <v>222496</v>
      </c>
      <c r="C449" t="s">
        <v>705</v>
      </c>
    </row>
    <row r="450" spans="1:3" x14ac:dyDescent="0.25">
      <c r="A450" t="s">
        <v>677</v>
      </c>
      <c r="B450">
        <v>1034910</v>
      </c>
      <c r="C450" t="s">
        <v>704</v>
      </c>
    </row>
    <row r="451" spans="1:3" x14ac:dyDescent="0.25">
      <c r="A451" t="s">
        <v>391</v>
      </c>
      <c r="B451">
        <v>1044028</v>
      </c>
      <c r="C451" t="s">
        <v>704</v>
      </c>
    </row>
    <row r="452" spans="1:3" x14ac:dyDescent="0.25">
      <c r="A452" t="s">
        <v>678</v>
      </c>
      <c r="C452" t="s">
        <v>703</v>
      </c>
    </row>
    <row r="453" spans="1:3" x14ac:dyDescent="0.25">
      <c r="A453" t="s">
        <v>25</v>
      </c>
      <c r="B453">
        <v>263885</v>
      </c>
      <c r="C453" t="s">
        <v>704</v>
      </c>
    </row>
    <row r="454" spans="1:3" x14ac:dyDescent="0.25">
      <c r="A454" t="s">
        <v>311</v>
      </c>
      <c r="B454">
        <v>209740</v>
      </c>
      <c r="C454" t="s">
        <v>705</v>
      </c>
    </row>
    <row r="455" spans="1:3" x14ac:dyDescent="0.25">
      <c r="A455" t="s">
        <v>679</v>
      </c>
      <c r="C455" t="s">
        <v>703</v>
      </c>
    </row>
    <row r="456" spans="1:3" x14ac:dyDescent="0.25">
      <c r="A456" t="s">
        <v>680</v>
      </c>
      <c r="B456">
        <v>207110</v>
      </c>
      <c r="C456" t="s">
        <v>703</v>
      </c>
    </row>
    <row r="457" spans="1:3" x14ac:dyDescent="0.25">
      <c r="A457" t="s">
        <v>172</v>
      </c>
      <c r="B457">
        <v>207934</v>
      </c>
      <c r="C457" t="s">
        <v>704</v>
      </c>
    </row>
    <row r="458" spans="1:3" x14ac:dyDescent="0.25">
      <c r="A458" t="s">
        <v>173</v>
      </c>
      <c r="B458">
        <v>209830</v>
      </c>
      <c r="C458" t="s">
        <v>705</v>
      </c>
    </row>
    <row r="459" spans="1:3" x14ac:dyDescent="0.25">
      <c r="A459" t="s">
        <v>681</v>
      </c>
      <c r="B459">
        <v>222844</v>
      </c>
      <c r="C459" t="s">
        <v>703</v>
      </c>
    </row>
    <row r="460" spans="1:3" x14ac:dyDescent="0.25">
      <c r="A460" t="s">
        <v>174</v>
      </c>
      <c r="B460">
        <v>222933</v>
      </c>
      <c r="C460" t="s">
        <v>705</v>
      </c>
    </row>
    <row r="461" spans="1:3" x14ac:dyDescent="0.25">
      <c r="A461" t="s">
        <v>682</v>
      </c>
      <c r="B461">
        <v>222941</v>
      </c>
      <c r="C461" t="s">
        <v>703</v>
      </c>
    </row>
    <row r="462" spans="1:3" x14ac:dyDescent="0.25">
      <c r="A462" t="s">
        <v>385</v>
      </c>
      <c r="B462">
        <v>222968</v>
      </c>
      <c r="C462" t="s">
        <v>705</v>
      </c>
    </row>
    <row r="463" spans="1:3" x14ac:dyDescent="0.25">
      <c r="A463" t="s">
        <v>683</v>
      </c>
      <c r="B463">
        <v>625531</v>
      </c>
      <c r="C463" t="s">
        <v>704</v>
      </c>
    </row>
    <row r="464" spans="1:3" x14ac:dyDescent="0.25">
      <c r="A464" t="s">
        <v>717</v>
      </c>
      <c r="B464">
        <v>210005</v>
      </c>
      <c r="C464" t="s">
        <v>704</v>
      </c>
    </row>
    <row r="465" spans="1:3" x14ac:dyDescent="0.25">
      <c r="A465" t="s">
        <v>380</v>
      </c>
      <c r="B465">
        <v>222992</v>
      </c>
      <c r="C465" t="s">
        <v>705</v>
      </c>
    </row>
    <row r="466" spans="1:3" x14ac:dyDescent="0.25">
      <c r="A466" t="s">
        <v>684</v>
      </c>
      <c r="B466">
        <v>223000</v>
      </c>
      <c r="C466" t="s">
        <v>703</v>
      </c>
    </row>
    <row r="467" spans="1:3" x14ac:dyDescent="0.25">
      <c r="A467" t="s">
        <v>53</v>
      </c>
      <c r="B467">
        <v>200310</v>
      </c>
      <c r="C467" t="s">
        <v>705</v>
      </c>
    </row>
    <row r="468" spans="1:3" x14ac:dyDescent="0.25">
      <c r="A468" t="s">
        <v>175</v>
      </c>
      <c r="B468">
        <v>263923</v>
      </c>
      <c r="C468" t="s">
        <v>705</v>
      </c>
    </row>
    <row r="469" spans="1:3" x14ac:dyDescent="0.25">
      <c r="A469" t="s">
        <v>176</v>
      </c>
      <c r="B469">
        <v>232017</v>
      </c>
      <c r="C469" t="s">
        <v>704</v>
      </c>
    </row>
    <row r="470" spans="1:3" x14ac:dyDescent="0.25">
      <c r="A470" t="s">
        <v>685</v>
      </c>
      <c r="C470" t="s">
        <v>703</v>
      </c>
    </row>
    <row r="471" spans="1:3" x14ac:dyDescent="0.25">
      <c r="A471" t="s">
        <v>177</v>
      </c>
      <c r="B471">
        <v>223069</v>
      </c>
      <c r="C471" t="s">
        <v>705</v>
      </c>
    </row>
    <row r="472" spans="1:3" x14ac:dyDescent="0.25">
      <c r="A472" t="s">
        <v>178</v>
      </c>
      <c r="B472">
        <v>260436</v>
      </c>
      <c r="C472" t="s">
        <v>704</v>
      </c>
    </row>
    <row r="473" spans="1:3" x14ac:dyDescent="0.25">
      <c r="A473" t="s">
        <v>686</v>
      </c>
      <c r="B473">
        <v>268399</v>
      </c>
      <c r="C473" t="s">
        <v>704</v>
      </c>
    </row>
    <row r="474" spans="1:3" x14ac:dyDescent="0.25">
      <c r="A474" t="s">
        <v>54</v>
      </c>
      <c r="B474">
        <v>209147</v>
      </c>
      <c r="C474" t="s">
        <v>705</v>
      </c>
    </row>
    <row r="475" spans="1:3" x14ac:dyDescent="0.25">
      <c r="A475" t="s">
        <v>687</v>
      </c>
      <c r="B475">
        <v>702439</v>
      </c>
      <c r="C475" t="s">
        <v>704</v>
      </c>
    </row>
    <row r="476" spans="1:3" x14ac:dyDescent="0.25">
      <c r="A476" t="s">
        <v>179</v>
      </c>
      <c r="B476">
        <v>263940</v>
      </c>
      <c r="C476" t="s">
        <v>705</v>
      </c>
    </row>
    <row r="477" spans="1:3" x14ac:dyDescent="0.25">
      <c r="A477" t="s">
        <v>180</v>
      </c>
      <c r="B477">
        <v>239526</v>
      </c>
      <c r="C477" t="s">
        <v>705</v>
      </c>
    </row>
    <row r="478" spans="1:3" x14ac:dyDescent="0.25">
      <c r="A478" t="s">
        <v>479</v>
      </c>
      <c r="B478">
        <v>223280</v>
      </c>
      <c r="C478" t="s">
        <v>704</v>
      </c>
    </row>
    <row r="479" spans="1:3" x14ac:dyDescent="0.25">
      <c r="A479" t="s">
        <v>181</v>
      </c>
      <c r="B479">
        <v>263982</v>
      </c>
      <c r="C479" t="s">
        <v>704</v>
      </c>
    </row>
    <row r="480" spans="1:3" x14ac:dyDescent="0.25">
      <c r="A480" t="s">
        <v>319</v>
      </c>
      <c r="B480">
        <v>210579</v>
      </c>
      <c r="C480" t="s">
        <v>705</v>
      </c>
    </row>
    <row r="481" spans="1:3" x14ac:dyDescent="0.25">
      <c r="A481" t="s">
        <v>320</v>
      </c>
      <c r="B481">
        <v>223441</v>
      </c>
      <c r="C481" t="s">
        <v>705</v>
      </c>
    </row>
    <row r="482" spans="1:3" x14ac:dyDescent="0.25">
      <c r="A482" t="s">
        <v>359</v>
      </c>
      <c r="B482">
        <v>232815</v>
      </c>
      <c r="C482" t="s">
        <v>703</v>
      </c>
    </row>
    <row r="483" spans="1:3" x14ac:dyDescent="0.25">
      <c r="A483" t="s">
        <v>309</v>
      </c>
      <c r="B483">
        <v>205273</v>
      </c>
      <c r="C483" t="s">
        <v>704</v>
      </c>
    </row>
    <row r="484" spans="1:3" x14ac:dyDescent="0.25">
      <c r="A484" t="s">
        <v>182</v>
      </c>
      <c r="B484">
        <v>205290</v>
      </c>
      <c r="C484" t="s">
        <v>705</v>
      </c>
    </row>
    <row r="485" spans="1:3" x14ac:dyDescent="0.25">
      <c r="A485" t="s">
        <v>480</v>
      </c>
      <c r="B485">
        <v>274097</v>
      </c>
      <c r="C485" t="s">
        <v>704</v>
      </c>
    </row>
    <row r="486" spans="1:3" x14ac:dyDescent="0.25">
      <c r="A486" t="s">
        <v>688</v>
      </c>
      <c r="B486">
        <v>208221</v>
      </c>
      <c r="C486" t="s">
        <v>703</v>
      </c>
    </row>
    <row r="487" spans="1:3" x14ac:dyDescent="0.25">
      <c r="A487" t="s">
        <v>183</v>
      </c>
      <c r="B487">
        <v>223603</v>
      </c>
      <c r="C487" t="s">
        <v>704</v>
      </c>
    </row>
    <row r="488" spans="1:3" x14ac:dyDescent="0.25">
      <c r="A488" t="s">
        <v>184</v>
      </c>
      <c r="B488">
        <v>202010</v>
      </c>
      <c r="C488" t="s">
        <v>705</v>
      </c>
    </row>
    <row r="489" spans="1:3" x14ac:dyDescent="0.25">
      <c r="A489" t="s">
        <v>714</v>
      </c>
      <c r="B489">
        <v>253600</v>
      </c>
      <c r="C489" t="s">
        <v>705</v>
      </c>
    </row>
    <row r="490" spans="1:3" x14ac:dyDescent="0.25">
      <c r="A490" t="s">
        <v>55</v>
      </c>
      <c r="B490">
        <v>230014</v>
      </c>
      <c r="C490" t="s">
        <v>704</v>
      </c>
    </row>
    <row r="491" spans="1:3" x14ac:dyDescent="0.25">
      <c r="A491" t="s">
        <v>689</v>
      </c>
      <c r="B491">
        <v>204897</v>
      </c>
      <c r="C491" t="s">
        <v>703</v>
      </c>
    </row>
    <row r="492" spans="1:3" x14ac:dyDescent="0.25">
      <c r="A492" t="s">
        <v>185</v>
      </c>
      <c r="B492">
        <v>209228</v>
      </c>
      <c r="C492" t="s">
        <v>705</v>
      </c>
    </row>
    <row r="493" spans="1:3" x14ac:dyDescent="0.25">
      <c r="A493" t="s">
        <v>690</v>
      </c>
      <c r="B493">
        <v>654183</v>
      </c>
      <c r="C493" t="s">
        <v>704</v>
      </c>
    </row>
    <row r="494" spans="1:3" x14ac:dyDescent="0.25">
      <c r="A494" t="s">
        <v>317</v>
      </c>
      <c r="B494">
        <v>223743</v>
      </c>
      <c r="C494" t="s">
        <v>705</v>
      </c>
    </row>
    <row r="495" spans="1:3" x14ac:dyDescent="0.25">
      <c r="A495" t="s">
        <v>313</v>
      </c>
      <c r="B495">
        <v>223751</v>
      </c>
      <c r="C495" t="s">
        <v>704</v>
      </c>
    </row>
    <row r="496" spans="1:3" x14ac:dyDescent="0.25">
      <c r="A496" t="s">
        <v>381</v>
      </c>
      <c r="B496">
        <v>207780</v>
      </c>
      <c r="C496" t="s">
        <v>704</v>
      </c>
    </row>
    <row r="497" spans="1:3" x14ac:dyDescent="0.25">
      <c r="A497" t="s">
        <v>691</v>
      </c>
      <c r="B497">
        <v>4672925</v>
      </c>
      <c r="C497" t="s">
        <v>704</v>
      </c>
    </row>
    <row r="498" spans="1:3" x14ac:dyDescent="0.25">
      <c r="A498" t="s">
        <v>692</v>
      </c>
      <c r="B498">
        <v>264059</v>
      </c>
      <c r="C498" t="s">
        <v>705</v>
      </c>
    </row>
    <row r="499" spans="1:3" x14ac:dyDescent="0.25">
      <c r="A499" t="s">
        <v>693</v>
      </c>
      <c r="B499">
        <v>4000471</v>
      </c>
      <c r="C499" t="s">
        <v>704</v>
      </c>
    </row>
    <row r="500" spans="1:3" x14ac:dyDescent="0.25">
      <c r="A500" t="s">
        <v>694</v>
      </c>
      <c r="B500">
        <v>1741861</v>
      </c>
      <c r="C500" t="s">
        <v>704</v>
      </c>
    </row>
    <row r="501" spans="1:3" x14ac:dyDescent="0.25">
      <c r="A501" t="s">
        <v>56</v>
      </c>
      <c r="B501">
        <v>204420</v>
      </c>
      <c r="C501" t="s">
        <v>705</v>
      </c>
    </row>
    <row r="502" spans="1:3" x14ac:dyDescent="0.25">
      <c r="A502" t="s">
        <v>186</v>
      </c>
      <c r="B502">
        <v>206334</v>
      </c>
      <c r="C502" t="s">
        <v>705</v>
      </c>
    </row>
    <row r="503" spans="1:3" x14ac:dyDescent="0.25">
      <c r="A503" t="s">
        <v>695</v>
      </c>
      <c r="B503">
        <v>249114</v>
      </c>
      <c r="C503" t="s">
        <v>704</v>
      </c>
    </row>
    <row r="504" spans="1:3" x14ac:dyDescent="0.25">
      <c r="A504" t="s">
        <v>696</v>
      </c>
      <c r="B504">
        <v>274100</v>
      </c>
      <c r="C504" t="s">
        <v>703</v>
      </c>
    </row>
    <row r="505" spans="1:3" x14ac:dyDescent="0.25">
      <c r="A505" t="s">
        <v>697</v>
      </c>
      <c r="B505">
        <v>256870</v>
      </c>
      <c r="C505" t="s">
        <v>704</v>
      </c>
    </row>
    <row r="506" spans="1:3" x14ac:dyDescent="0.25">
      <c r="A506" t="s">
        <v>698</v>
      </c>
      <c r="B506">
        <v>1027085</v>
      </c>
      <c r="C506" t="s">
        <v>704</v>
      </c>
    </row>
    <row r="507" spans="1:3" x14ac:dyDescent="0.25">
      <c r="A507" t="s">
        <v>466</v>
      </c>
      <c r="B507">
        <v>261572</v>
      </c>
      <c r="C507" t="s">
        <v>704</v>
      </c>
    </row>
    <row r="508" spans="1:3" x14ac:dyDescent="0.25">
      <c r="A508" t="s">
        <v>457</v>
      </c>
      <c r="B508">
        <v>202622</v>
      </c>
      <c r="C508" t="s">
        <v>705</v>
      </c>
    </row>
    <row r="509" spans="1:3" x14ac:dyDescent="0.25">
      <c r="A509" t="s">
        <v>360</v>
      </c>
      <c r="B509">
        <v>207969</v>
      </c>
      <c r="C509" t="s">
        <v>704</v>
      </c>
    </row>
    <row r="510" spans="1:3" x14ac:dyDescent="0.25">
      <c r="A510" t="s">
        <v>699</v>
      </c>
      <c r="B510">
        <v>8600147</v>
      </c>
      <c r="C510" t="s">
        <v>704</v>
      </c>
    </row>
    <row r="511" spans="1:3" x14ac:dyDescent="0.25">
      <c r="A511" t="s">
        <v>700</v>
      </c>
      <c r="B511">
        <v>8601089</v>
      </c>
      <c r="C511" t="s">
        <v>704</v>
      </c>
    </row>
    <row r="512" spans="1:3" x14ac:dyDescent="0.25">
      <c r="A512" t="s">
        <v>701</v>
      </c>
      <c r="B512">
        <v>224332</v>
      </c>
      <c r="C512" t="s">
        <v>703</v>
      </c>
    </row>
    <row r="513" spans="1:3" x14ac:dyDescent="0.25">
      <c r="A513" t="s">
        <v>35</v>
      </c>
      <c r="B513">
        <v>201154</v>
      </c>
      <c r="C513" t="s">
        <v>704</v>
      </c>
    </row>
    <row r="514" spans="1:3" x14ac:dyDescent="0.25">
      <c r="A514" t="s">
        <v>702</v>
      </c>
      <c r="B514">
        <v>4688856</v>
      </c>
      <c r="C514" t="s">
        <v>704</v>
      </c>
    </row>
    <row r="515" spans="1:3" x14ac:dyDescent="0.25">
      <c r="A515" t="s">
        <v>187</v>
      </c>
      <c r="B515">
        <v>224375</v>
      </c>
      <c r="C515" t="s">
        <v>705</v>
      </c>
    </row>
  </sheetData>
  <autoFilter ref="A1:C515" xr:uid="{00000000-0009-0000-0000-000006000000}">
    <sortState xmlns:xlrd2="http://schemas.microsoft.com/office/spreadsheetml/2017/richdata2" ref="A2:C310">
      <sortCondition ref="A3:A310"/>
    </sortState>
  </autoFilter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/>
  </sheetViews>
  <sheetFormatPr defaultRowHeight="15" x14ac:dyDescent="0.25"/>
  <cols>
    <col min="1" max="1" width="19.5703125" bestFit="1" customWidth="1"/>
  </cols>
  <sheetData>
    <row r="1" spans="1:1" x14ac:dyDescent="0.25">
      <c r="A1" t="s">
        <v>229</v>
      </c>
    </row>
    <row r="2" spans="1:1" x14ac:dyDescent="0.25">
      <c r="A2" t="s">
        <v>230</v>
      </c>
    </row>
    <row r="3" spans="1:1" x14ac:dyDescent="0.25">
      <c r="A3" t="s">
        <v>231</v>
      </c>
    </row>
    <row r="4" spans="1:1" x14ac:dyDescent="0.25">
      <c r="A4" t="s">
        <v>398</v>
      </c>
    </row>
    <row r="5" spans="1:1" x14ac:dyDescent="0.25">
      <c r="A5" t="s">
        <v>399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2"/>
  <sheetViews>
    <sheetView workbookViewId="0">
      <selection activeCell="E3" sqref="E3"/>
    </sheetView>
  </sheetViews>
  <sheetFormatPr defaultRowHeight="15" x14ac:dyDescent="0.25"/>
  <cols>
    <col min="2" max="2" width="65.42578125" bestFit="1" customWidth="1"/>
    <col min="3" max="3" width="39.140625" bestFit="1" customWidth="1"/>
    <col min="4" max="4" width="38.28515625" bestFit="1" customWidth="1"/>
    <col min="5" max="5" width="15.7109375" bestFit="1" customWidth="1"/>
  </cols>
  <sheetData>
    <row r="1" spans="1:5" x14ac:dyDescent="0.25">
      <c r="A1" t="s">
        <v>16</v>
      </c>
      <c r="B1" t="s">
        <v>16</v>
      </c>
      <c r="C1" t="s">
        <v>17</v>
      </c>
      <c r="D1" t="s">
        <v>18</v>
      </c>
      <c r="E1" t="s">
        <v>424</v>
      </c>
    </row>
    <row r="2" spans="1:5" x14ac:dyDescent="0.25">
      <c r="A2" t="s">
        <v>17</v>
      </c>
      <c r="B2" t="s">
        <v>403</v>
      </c>
      <c r="C2" t="s">
        <v>251</v>
      </c>
      <c r="D2" t="s">
        <v>272</v>
      </c>
      <c r="E2" t="s">
        <v>425</v>
      </c>
    </row>
    <row r="3" spans="1:5" x14ac:dyDescent="0.25">
      <c r="A3" t="s">
        <v>18</v>
      </c>
      <c r="B3" t="s">
        <v>404</v>
      </c>
      <c r="C3" t="s">
        <v>252</v>
      </c>
      <c r="D3" t="s">
        <v>273</v>
      </c>
      <c r="E3" t="s">
        <v>426</v>
      </c>
    </row>
    <row r="4" spans="1:5" x14ac:dyDescent="0.25">
      <c r="B4" t="s">
        <v>237</v>
      </c>
      <c r="C4" t="s">
        <v>413</v>
      </c>
      <c r="D4" t="s">
        <v>274</v>
      </c>
    </row>
    <row r="5" spans="1:5" x14ac:dyDescent="0.25">
      <c r="B5" t="s">
        <v>238</v>
      </c>
      <c r="C5" t="s">
        <v>414</v>
      </c>
      <c r="D5" t="s">
        <v>275</v>
      </c>
    </row>
    <row r="6" spans="1:5" x14ac:dyDescent="0.25">
      <c r="B6" t="s">
        <v>239</v>
      </c>
      <c r="C6" t="s">
        <v>253</v>
      </c>
      <c r="D6" t="s">
        <v>276</v>
      </c>
    </row>
    <row r="7" spans="1:5" x14ac:dyDescent="0.25">
      <c r="B7" t="s">
        <v>240</v>
      </c>
      <c r="C7" t="s">
        <v>254</v>
      </c>
      <c r="D7" t="s">
        <v>277</v>
      </c>
    </row>
    <row r="8" spans="1:5" x14ac:dyDescent="0.25">
      <c r="B8" t="s">
        <v>241</v>
      </c>
      <c r="C8" t="s">
        <v>255</v>
      </c>
      <c r="D8" t="s">
        <v>278</v>
      </c>
    </row>
    <row r="9" spans="1:5" x14ac:dyDescent="0.25">
      <c r="B9" t="s">
        <v>405</v>
      </c>
      <c r="C9" t="s">
        <v>415</v>
      </c>
      <c r="D9" t="s">
        <v>422</v>
      </c>
    </row>
    <row r="10" spans="1:5" x14ac:dyDescent="0.25">
      <c r="B10" t="s">
        <v>406</v>
      </c>
      <c r="C10" t="s">
        <v>416</v>
      </c>
      <c r="D10" t="s">
        <v>279</v>
      </c>
    </row>
    <row r="11" spans="1:5" x14ac:dyDescent="0.25">
      <c r="B11" t="s">
        <v>407</v>
      </c>
      <c r="C11" t="s">
        <v>417</v>
      </c>
      <c r="D11" t="s">
        <v>280</v>
      </c>
    </row>
    <row r="12" spans="1:5" x14ac:dyDescent="0.25">
      <c r="B12" t="s">
        <v>242</v>
      </c>
      <c r="C12" t="s">
        <v>256</v>
      </c>
      <c r="D12" t="s">
        <v>281</v>
      </c>
    </row>
    <row r="13" spans="1:5" x14ac:dyDescent="0.25">
      <c r="B13" t="s">
        <v>408</v>
      </c>
      <c r="C13" t="s">
        <v>257</v>
      </c>
      <c r="D13" t="s">
        <v>282</v>
      </c>
    </row>
    <row r="14" spans="1:5" x14ac:dyDescent="0.25">
      <c r="B14" t="s">
        <v>409</v>
      </c>
      <c r="C14" t="s">
        <v>258</v>
      </c>
      <c r="D14" t="s">
        <v>283</v>
      </c>
    </row>
    <row r="15" spans="1:5" x14ac:dyDescent="0.25">
      <c r="B15" t="s">
        <v>243</v>
      </c>
      <c r="C15" t="s">
        <v>250</v>
      </c>
      <c r="D15" t="s">
        <v>284</v>
      </c>
    </row>
    <row r="16" spans="1:5" x14ac:dyDescent="0.25">
      <c r="B16" t="s">
        <v>244</v>
      </c>
      <c r="C16" t="s">
        <v>259</v>
      </c>
    </row>
    <row r="17" spans="2:3" x14ac:dyDescent="0.25">
      <c r="B17" t="s">
        <v>245</v>
      </c>
      <c r="C17" t="s">
        <v>260</v>
      </c>
    </row>
    <row r="18" spans="2:3" x14ac:dyDescent="0.25">
      <c r="B18" t="s">
        <v>246</v>
      </c>
      <c r="C18" t="s">
        <v>261</v>
      </c>
    </row>
    <row r="19" spans="2:3" x14ac:dyDescent="0.25">
      <c r="B19" t="s">
        <v>247</v>
      </c>
      <c r="C19" t="s">
        <v>262</v>
      </c>
    </row>
    <row r="20" spans="2:3" x14ac:dyDescent="0.25">
      <c r="B20" t="s">
        <v>410</v>
      </c>
      <c r="C20" t="s">
        <v>263</v>
      </c>
    </row>
    <row r="21" spans="2:3" x14ac:dyDescent="0.25">
      <c r="B21" t="s">
        <v>412</v>
      </c>
      <c r="C21" t="s">
        <v>264</v>
      </c>
    </row>
    <row r="22" spans="2:3" x14ac:dyDescent="0.25">
      <c r="B22" t="s">
        <v>411</v>
      </c>
      <c r="C22" t="s">
        <v>265</v>
      </c>
    </row>
    <row r="23" spans="2:3" x14ac:dyDescent="0.25">
      <c r="B23" t="s">
        <v>248</v>
      </c>
      <c r="C23" t="s">
        <v>266</v>
      </c>
    </row>
    <row r="24" spans="2:3" x14ac:dyDescent="0.25">
      <c r="B24" t="s">
        <v>249</v>
      </c>
      <c r="C24" t="s">
        <v>267</v>
      </c>
    </row>
    <row r="25" spans="2:3" x14ac:dyDescent="0.25">
      <c r="C25" t="s">
        <v>268</v>
      </c>
    </row>
    <row r="26" spans="2:3" x14ac:dyDescent="0.25">
      <c r="C26" t="s">
        <v>269</v>
      </c>
    </row>
    <row r="27" spans="2:3" x14ac:dyDescent="0.25">
      <c r="C27" t="s">
        <v>418</v>
      </c>
    </row>
    <row r="28" spans="2:3" x14ac:dyDescent="0.25">
      <c r="C28" t="s">
        <v>419</v>
      </c>
    </row>
    <row r="29" spans="2:3" x14ac:dyDescent="0.25">
      <c r="C29" t="s">
        <v>420</v>
      </c>
    </row>
    <row r="30" spans="2:3" x14ac:dyDescent="0.25">
      <c r="C30" t="s">
        <v>270</v>
      </c>
    </row>
    <row r="31" spans="2:3" x14ac:dyDescent="0.25">
      <c r="C31" t="s">
        <v>421</v>
      </c>
    </row>
    <row r="32" spans="2:3" x14ac:dyDescent="0.25">
      <c r="C32" t="s">
        <v>271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3"/>
  <sheetViews>
    <sheetView workbookViewId="0"/>
  </sheetViews>
  <sheetFormatPr defaultRowHeight="15" x14ac:dyDescent="0.25"/>
  <sheetData>
    <row r="1" spans="1:1" x14ac:dyDescent="0.25">
      <c r="A1" t="s">
        <v>292</v>
      </c>
    </row>
    <row r="2" spans="1:1" x14ac:dyDescent="0.25">
      <c r="A2" t="s">
        <v>293</v>
      </c>
    </row>
    <row r="3" spans="1:1" x14ac:dyDescent="0.25">
      <c r="A3" t="s">
        <v>294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/>
  </sheetViews>
  <sheetFormatPr defaultRowHeight="15" x14ac:dyDescent="0.25"/>
  <cols>
    <col min="1" max="1" width="15.85546875" bestFit="1" customWidth="1"/>
  </cols>
  <sheetData>
    <row r="1" spans="1:1" x14ac:dyDescent="0.25">
      <c r="A1" t="s">
        <v>298</v>
      </c>
    </row>
    <row r="2" spans="1:1" x14ac:dyDescent="0.25">
      <c r="A2" t="s">
        <v>299</v>
      </c>
    </row>
    <row r="3" spans="1:1" x14ac:dyDescent="0.25">
      <c r="A3" t="s">
        <v>300</v>
      </c>
    </row>
    <row r="4" spans="1:1" x14ac:dyDescent="0.25">
      <c r="A4" t="s"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9"/>
  <sheetViews>
    <sheetView workbookViewId="0"/>
  </sheetViews>
  <sheetFormatPr defaultRowHeight="15" x14ac:dyDescent="0.25"/>
  <cols>
    <col min="1" max="1" width="18.5703125" bestFit="1" customWidth="1"/>
  </cols>
  <sheetData>
    <row r="1" spans="1:1" x14ac:dyDescent="0.25">
      <c r="A1" t="s">
        <v>393</v>
      </c>
    </row>
    <row r="2" spans="1:1" x14ac:dyDescent="0.25">
      <c r="A2" t="s">
        <v>394</v>
      </c>
    </row>
    <row r="3" spans="1:1" x14ac:dyDescent="0.25">
      <c r="A3" t="s">
        <v>304</v>
      </c>
    </row>
    <row r="4" spans="1:1" x14ac:dyDescent="0.25">
      <c r="A4" t="s">
        <v>395</v>
      </c>
    </row>
    <row r="5" spans="1:1" x14ac:dyDescent="0.25">
      <c r="A5" t="s">
        <v>302</v>
      </c>
    </row>
    <row r="6" spans="1:1" x14ac:dyDescent="0.25">
      <c r="A6" t="s">
        <v>396</v>
      </c>
    </row>
    <row r="7" spans="1:1" x14ac:dyDescent="0.25">
      <c r="A7" t="s">
        <v>397</v>
      </c>
    </row>
    <row r="8" spans="1:1" x14ac:dyDescent="0.25">
      <c r="A8" t="s">
        <v>303</v>
      </c>
    </row>
    <row r="9" spans="1:1" x14ac:dyDescent="0.25">
      <c r="A9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13</vt:i4>
      </vt:variant>
      <vt:variant>
        <vt:lpstr>Benoemde bereiken</vt:lpstr>
      </vt:variant>
      <vt:variant>
        <vt:i4>4</vt:i4>
      </vt:variant>
    </vt:vector>
  </HeadingPairs>
  <TitlesOfParts>
    <vt:vector size="17" baseType="lpstr">
      <vt:lpstr>FIDE Registration Form</vt:lpstr>
      <vt:lpstr>Meerdere_registraties</vt:lpstr>
      <vt:lpstr>Rounds_Long_Tournament</vt:lpstr>
      <vt:lpstr>YesNo</vt:lpstr>
      <vt:lpstr>Tournament_Report</vt:lpstr>
      <vt:lpstr>Tournament_Type</vt:lpstr>
      <vt:lpstr>Tournament_System</vt:lpstr>
      <vt:lpstr>FIDE_ID</vt:lpstr>
      <vt:lpstr>Kind_of_Arbiters</vt:lpstr>
      <vt:lpstr>Time_Control</vt:lpstr>
      <vt:lpstr>Age_Limit</vt:lpstr>
      <vt:lpstr>Tiebreak_Method</vt:lpstr>
      <vt:lpstr>Software</vt:lpstr>
      <vt:lpstr>'FIDE Registration Form'!Afdrukbereik</vt:lpstr>
      <vt:lpstr>Blitz</vt:lpstr>
      <vt:lpstr>Rapid</vt:lpstr>
      <vt:lpstr>Standard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</dc:creator>
  <cp:lastModifiedBy>Luc Cornet</cp:lastModifiedBy>
  <cp:lastPrinted>2015-02-10T17:05:00Z</cp:lastPrinted>
  <dcterms:created xsi:type="dcterms:W3CDTF">2012-04-30T08:32:15Z</dcterms:created>
  <dcterms:modified xsi:type="dcterms:W3CDTF">2026-05-24T08:49:52Z</dcterms:modified>
</cp:coreProperties>
</file>